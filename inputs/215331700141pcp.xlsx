
<file path=[Content_Types].xml><?xml version="1.0" encoding="utf-8"?>
<Types xmlns="http://schemas.openxmlformats.org/package/2006/content-types">
  <Override PartName="/xl/embeddings/oleObject8.bin" ContentType="application/vnd.openxmlformats-officedocument.oleObject"/>
  <Override PartName="/xl/embeddings/oleObject14.bin" ContentType="application/vnd.openxmlformats-officedocument.oleObject"/>
  <Override PartName="/xl/embeddings/oleObject23.bin" ContentType="application/vnd.openxmlformats-officedocument.oleObject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6.bin" ContentType="application/vnd.openxmlformats-officedocument.oleObject"/>
  <Override PartName="/xl/embeddings/oleObject12.bin" ContentType="application/vnd.openxmlformats-officedocument.oleObject"/>
  <Override PartName="/xl/drawings/drawing6.xml" ContentType="application/vnd.openxmlformats-officedocument.drawing+xml"/>
  <Override PartName="/xl/embeddings/oleObject21.bin" ContentType="application/vnd.openxmlformats-officedocument.oleObject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externalLinks/externalLink7.xml" ContentType="application/vnd.openxmlformats-officedocument.spreadsheetml.externalLink+xml"/>
  <Override PartName="/xl/embeddings/oleObject4.bin" ContentType="application/vnd.openxmlformats-officedocument.oleObject"/>
  <Override PartName="/xl/drawings/drawing4.xml" ContentType="application/vnd.openxmlformats-officedocument.drawing+xml"/>
  <Override PartName="/xl/embeddings/oleObject10.bin" ContentType="application/vnd.openxmlformats-officedocument.oleObject"/>
  <Default Extension="wmf" ContentType="image/x-wmf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8.bin" ContentType="application/vnd.openxmlformats-officedocument.oleObject"/>
  <Override PartName="/xl/embeddings/oleObject9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docProps/core.xml" ContentType="application/vnd.openxmlformats-package.core-properties+xml"/>
  <Default Extension="bin" ContentType="application/vnd.openxmlformats-officedocument.spreadsheetml.printerSettings"/>
  <Override PartName="/xl/embeddings/oleObject7.bin" ContentType="application/vnd.openxmlformats-officedocument.oleObject"/>
  <Override PartName="/xl/embeddings/oleObject15.bin" ContentType="application/vnd.openxmlformats-officedocument.oleObject"/>
  <Override PartName="/xl/embeddings/oleObject24.bin" ContentType="application/vnd.openxmlformats-officedocument.oleObject"/>
  <Override PartName="/xl/externalLinks/externalLink8.xml" ContentType="application/vnd.openxmlformats-officedocument.spreadsheetml.externalLink+xml"/>
  <Override PartName="/xl/embeddings/oleObject5.bin" ContentType="application/vnd.openxmlformats-officedocument.oleObject"/>
  <Override PartName="/xl/embeddings/oleObject13.bin" ContentType="application/vnd.openxmlformats-officedocument.oleObject"/>
  <Override PartName="/xl/embeddings/oleObject22.bin" ContentType="application/vnd.openxmlformats-officedocument.oleObject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mbeddings/oleObject3.bin" ContentType="application/vnd.openxmlformats-officedocument.oleObject"/>
  <Default Extension="emf" ContentType="image/x-emf"/>
  <Override PartName="/xl/embeddings/oleObject11.bin" ContentType="application/vnd.openxmlformats-officedocument.oleObject"/>
  <Override PartName="/xl/drawings/drawing5.xml" ContentType="application/vnd.openxmlformats-officedocument.drawing+xml"/>
  <Override PartName="/xl/embeddings/oleObject20.bin" ContentType="application/vnd.openxmlformats-officedocument.oleObject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 firstSheet="4" activeTab="4"/>
  </bookViews>
  <sheets>
    <sheet name="LABLE" sheetId="1" state="hidden" r:id="rId1"/>
    <sheet name="COVER" sheetId="2" state="hidden" r:id="rId2"/>
    <sheet name="Document Review" sheetId="3" state="hidden" r:id="rId3"/>
    <sheet name="2)PFD" sheetId="8" state="hidden" r:id="rId4"/>
    <sheet name="3)FMEA " sheetId="10" r:id="rId5"/>
    <sheet name="4)P-C-P " sheetId="11" r:id="rId6"/>
    <sheet name="19)QP" sheetId="7" state="hidden" r:id="rId7"/>
    <sheet name="27)PSW" sheetId="13" state="hidden" r:id="rId8"/>
    <sheet name="WPS (CO2)" sheetId="14" state="hidden" r:id="rId9"/>
    <sheet name="SPC_252709140196" sheetId="15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">NA()</definedName>
    <definedName name="_?">NA()</definedName>
    <definedName name="_?_컛?___i">NA()</definedName>
    <definedName name="__재료비_기준냉동기_미포함">NA()</definedName>
    <definedName name="__추후_NAVA__PROJECT는__부품_">NA()</definedName>
    <definedName name="_95年">NA()</definedName>
    <definedName name="_A_A">"$#REF!.$#REF!$#REF!"</definedName>
    <definedName name="_a¾E__">"$#REF!.$#REF!$#REF!"</definedName>
    <definedName name="_a¾EA_">"$#REF!.$#REF!$#REF!"</definedName>
    <definedName name="_a1">NA()</definedName>
    <definedName name="_a2">NA()</definedName>
    <definedName name="_a3">NA()</definedName>
    <definedName name="_Key1" localSheetId="7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localSheetId="7" hidden="1">#REF!</definedName>
    <definedName name="_Sort" localSheetId="0" hidden="1">#REF!</definedName>
    <definedName name="_Sort" hidden="1">#REF!</definedName>
    <definedName name="_WT6161" localSheetId="7">#REF!</definedName>
    <definedName name="_WT6161" localSheetId="0">#REF!</definedName>
    <definedName name="_WT6161">#REF!</definedName>
    <definedName name="_zz1" localSheetId="7">#REF!</definedName>
    <definedName name="_zz1" localSheetId="0">#REF!</definedName>
    <definedName name="_zz1">#REF!</definedName>
    <definedName name="_μ_μ">"$#REF!.$#REF!$#REF!"</definedName>
    <definedName name="a">NA()</definedName>
    <definedName name="aa">NA()</definedName>
    <definedName name="ab">NA()</definedName>
    <definedName name="abc" localSheetId="3" hidden="1">{#N/A,#N/A,FALSE,"Cash Flows";#N/A,#N/A,FALSE,"Fixed Assets";#N/A,#N/A,FALSE,"Balance Sheet";#N/A,#N/A,FALSE,"P &amp; L"}</definedName>
    <definedName name="abc" localSheetId="7" hidden="1">{#N/A,#N/A,FALSE,"Cash Flows";#N/A,#N/A,FALSE,"Fixed Assets";#N/A,#N/A,FALSE,"Balance Sheet";#N/A,#N/A,FALSE,"P &amp; L"}</definedName>
    <definedName name="abc" localSheetId="4" hidden="1">{#N/A,#N/A,FALSE,"Cash Flows";#N/A,#N/A,FALSE,"Fixed Assets";#N/A,#N/A,FALSE,"Balance Sheet";#N/A,#N/A,FALSE,"P &amp; L"}</definedName>
    <definedName name="abc" localSheetId="5" hidden="1">{#N/A,#N/A,FALSE,"Cash Flows";#N/A,#N/A,FALSE,"Fixed Assets";#N/A,#N/A,FALSE,"Balance Sheet";#N/A,#N/A,FALSE,"P &amp; L"}</definedName>
    <definedName name="abc" localSheetId="2" hidden="1">{#N/A,#N/A,FALSE,"Cash Flows";#N/A,#N/A,FALSE,"Fixed Assets";#N/A,#N/A,FALSE,"Balance Sheet";#N/A,#N/A,FALSE,"P &amp; L"}</definedName>
    <definedName name="abc" localSheetId="0" hidden="1">{#N/A,#N/A,FALSE,"Cash Flows";#N/A,#N/A,FALSE,"Fixed Assets";#N/A,#N/A,FALSE,"Balance Sheet";#N/A,#N/A,FALSE,"P &amp; L"}</definedName>
    <definedName name="abc" localSheetId="8" hidden="1">{#N/A,#N/A,FALSE,"Cash Flows";#N/A,#N/A,FALSE,"Fixed Assets";#N/A,#N/A,FALSE,"Balance Sheet";#N/A,#N/A,FALSE,"P &amp; L"}</definedName>
    <definedName name="abc" hidden="1">{#N/A,#N/A,FALSE,"Cash Flows";#N/A,#N/A,FALSE,"Fixed Assets";#N/A,#N/A,FALSE,"Balance Sheet";#N/A,#N/A,FALSE,"P &amp; L"}</definedName>
    <definedName name="abcd">NA()</definedName>
    <definedName name="ac">NA()</definedName>
    <definedName name="Add" localSheetId="7">'[1]Fixed Assets'!#REF!</definedName>
    <definedName name="Add" localSheetId="0">'[1]Fixed Assets'!#REF!</definedName>
    <definedName name="Add">'[1]Fixed Assets'!#REF!</definedName>
    <definedName name="AKDSCOOTER" localSheetId="7">#REF!</definedName>
    <definedName name="AKDSCOOTER" localSheetId="0">#REF!</definedName>
    <definedName name="AKDSCOOTER">#REF!</definedName>
    <definedName name="ALLBH" localSheetId="7">#REF!</definedName>
    <definedName name="ALLBH" localSheetId="0">#REF!</definedName>
    <definedName name="ALLBH">#REF!</definedName>
    <definedName name="ALLBT" localSheetId="7">#REF!</definedName>
    <definedName name="ALLBT" localSheetId="0">#REF!</definedName>
    <definedName name="ALLBT">#REF!</definedName>
    <definedName name="ALLMC" localSheetId="7">#REF!</definedName>
    <definedName name="ALLMC" localSheetId="0">#REF!</definedName>
    <definedName name="ALLMC">#REF!</definedName>
    <definedName name="ALTSS">NA()</definedName>
    <definedName name="AS">NA()</definedName>
    <definedName name="AS.BB">NA()</definedName>
    <definedName name="asa" localSheetId="3" hidden="1">{#N/A,#N/A,FALSE,"Cash Flows";#N/A,#N/A,FALSE,"Fixed Assets";#N/A,#N/A,FALSE,"Balance Sheet";#N/A,#N/A,FALSE,"P &amp; L"}</definedName>
    <definedName name="asa" localSheetId="7" hidden="1">{#N/A,#N/A,FALSE,"Cash Flows";#N/A,#N/A,FALSE,"Fixed Assets";#N/A,#N/A,FALSE,"Balance Sheet";#N/A,#N/A,FALSE,"P &amp; L"}</definedName>
    <definedName name="asa" localSheetId="4" hidden="1">{#N/A,#N/A,FALSE,"Cash Flows";#N/A,#N/A,FALSE,"Fixed Assets";#N/A,#N/A,FALSE,"Balance Sheet";#N/A,#N/A,FALSE,"P &amp; L"}</definedName>
    <definedName name="asa" localSheetId="5" hidden="1">{#N/A,#N/A,FALSE,"Cash Flows";#N/A,#N/A,FALSE,"Fixed Assets";#N/A,#N/A,FALSE,"Balance Sheet";#N/A,#N/A,FALSE,"P &amp; L"}</definedName>
    <definedName name="asa" localSheetId="2" hidden="1">{#N/A,#N/A,FALSE,"Cash Flows";#N/A,#N/A,FALSE,"Fixed Assets";#N/A,#N/A,FALSE,"Balance Sheet";#N/A,#N/A,FALSE,"P &amp; L"}</definedName>
    <definedName name="asa" localSheetId="0" hidden="1">{#N/A,#N/A,FALSE,"Cash Flows";#N/A,#N/A,FALSE,"Fixed Assets";#N/A,#N/A,FALSE,"Balance Sheet";#N/A,#N/A,FALSE,"P &amp; L"}</definedName>
    <definedName name="asa" localSheetId="8" hidden="1">{#N/A,#N/A,FALSE,"Cash Flows";#N/A,#N/A,FALSE,"Fixed Assets";#N/A,#N/A,FALSE,"Balance Sheet";#N/A,#N/A,FALSE,"P &amp; L"}</definedName>
    <definedName name="asa" hidden="1">{#N/A,#N/A,FALSE,"Cash Flows";#N/A,#N/A,FALSE,"Fixed Assets";#N/A,#N/A,FALSE,"Balance Sheet";#N/A,#N/A,FALSE,"P &amp; L"}</definedName>
    <definedName name="ASD">NA()</definedName>
    <definedName name="asd\" localSheetId="3" hidden="1">{#N/A,#N/A,FALSE,"Cash Flows";#N/A,#N/A,FALSE,"Fixed Assets";#N/A,#N/A,FALSE,"Balance Sheet";#N/A,#N/A,FALSE,"P &amp; L"}</definedName>
    <definedName name="asd\" localSheetId="7" hidden="1">{#N/A,#N/A,FALSE,"Cash Flows";#N/A,#N/A,FALSE,"Fixed Assets";#N/A,#N/A,FALSE,"Balance Sheet";#N/A,#N/A,FALSE,"P &amp; L"}</definedName>
    <definedName name="asd\" localSheetId="4" hidden="1">{#N/A,#N/A,FALSE,"Cash Flows";#N/A,#N/A,FALSE,"Fixed Assets";#N/A,#N/A,FALSE,"Balance Sheet";#N/A,#N/A,FALSE,"P &amp; L"}</definedName>
    <definedName name="asd\" localSheetId="5" hidden="1">{#N/A,#N/A,FALSE,"Cash Flows";#N/A,#N/A,FALSE,"Fixed Assets";#N/A,#N/A,FALSE,"Balance Sheet";#N/A,#N/A,FALSE,"P &amp; L"}</definedName>
    <definedName name="asd\" localSheetId="2" hidden="1">{#N/A,#N/A,FALSE,"Cash Flows";#N/A,#N/A,FALSE,"Fixed Assets";#N/A,#N/A,FALSE,"Balance Sheet";#N/A,#N/A,FALSE,"P &amp; L"}</definedName>
    <definedName name="asd\" localSheetId="0" hidden="1">{#N/A,#N/A,FALSE,"Cash Flows";#N/A,#N/A,FALSE,"Fixed Assets";#N/A,#N/A,FALSE,"Balance Sheet";#N/A,#N/A,FALSE,"P &amp; L"}</definedName>
    <definedName name="asd\" localSheetId="8" hidden="1">{#N/A,#N/A,FALSE,"Cash Flows";#N/A,#N/A,FALSE,"Fixed Assets";#N/A,#N/A,FALSE,"Balance Sheet";#N/A,#N/A,FALSE,"P &amp; L"}</definedName>
    <definedName name="asd\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" localSheetId="7" hidden="1">{#N/A,#N/A,FALSE,"Cash Flows";#N/A,#N/A,FALSE,"Fixed Assets";#N/A,#N/A,FALSE,"Balance Sheet";#N/A,#N/A,FALSE,"P &amp; L"}</definedName>
    <definedName name="asda" localSheetId="4" hidden="1">{#N/A,#N/A,FALSE,"Cash Flows";#N/A,#N/A,FALSE,"Fixed Assets";#N/A,#N/A,FALSE,"Balance Sheet";#N/A,#N/A,FALSE,"P &amp; L"}</definedName>
    <definedName name="asda" localSheetId="5" hidden="1">{#N/A,#N/A,FALSE,"Cash Flows";#N/A,#N/A,FALSE,"Fixed Assets";#N/A,#N/A,FALSE,"Balance Sheet";#N/A,#N/A,FALSE,"P &amp; L"}</definedName>
    <definedName name="asda" localSheetId="2" hidden="1">{#N/A,#N/A,FALSE,"Cash Flows";#N/A,#N/A,FALSE,"Fixed Assets";#N/A,#N/A,FALSE,"Balance Sheet";#N/A,#N/A,FALSE,"P &amp; L"}</definedName>
    <definedName name="asda" localSheetId="0" hidden="1">{#N/A,#N/A,FALSE,"Cash Flows";#N/A,#N/A,FALSE,"Fixed Assets";#N/A,#N/A,FALSE,"Balance Sheet";#N/A,#N/A,FALSE,"P &amp; L"}</definedName>
    <definedName name="asda" localSheetId="8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3" hidden="1">{#N/A,#N/A,FALSE,"Cash Flows";#N/A,#N/A,FALSE,"Fixed Assets";#N/A,#N/A,FALSE,"Balance Sheet";#N/A,#N/A,FALSE,"P &amp; L"}</definedName>
    <definedName name="asda1" localSheetId="7" hidden="1">{#N/A,#N/A,FALSE,"Cash Flows";#N/A,#N/A,FALSE,"Fixed Assets";#N/A,#N/A,FALSE,"Balance Sheet";#N/A,#N/A,FALSE,"P &amp; L"}</definedName>
    <definedName name="asda1" localSheetId="4" hidden="1">{#N/A,#N/A,FALSE,"Cash Flows";#N/A,#N/A,FALSE,"Fixed Assets";#N/A,#N/A,FALSE,"Balance Sheet";#N/A,#N/A,FALSE,"P &amp; L"}</definedName>
    <definedName name="asda1" localSheetId="5" hidden="1">{#N/A,#N/A,FALSE,"Cash Flows";#N/A,#N/A,FALSE,"Fixed Assets";#N/A,#N/A,FALSE,"Balance Sheet";#N/A,#N/A,FALSE,"P &amp; L"}</definedName>
    <definedName name="asda1" localSheetId="2" hidden="1">{#N/A,#N/A,FALSE,"Cash Flows";#N/A,#N/A,FALSE,"Fixed Assets";#N/A,#N/A,FALSE,"Balance Sheet";#N/A,#N/A,FALSE,"P &amp; L"}</definedName>
    <definedName name="asda1" localSheetId="0" hidden="1">{#N/A,#N/A,FALSE,"Cash Flows";#N/A,#N/A,FALSE,"Fixed Assets";#N/A,#N/A,FALSE,"Balance Sheet";#N/A,#N/A,FALSE,"P &amp; L"}</definedName>
    <definedName name="asda1" localSheetId="8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2" localSheetId="7" hidden="1">{#N/A,#N/A,FALSE,"Cash Flows";#N/A,#N/A,FALSE,"Fixed Assets";#N/A,#N/A,FALSE,"Balance Sheet";#N/A,#N/A,FALSE,"P &amp; L"}</definedName>
    <definedName name="asda2" localSheetId="4" hidden="1">{#N/A,#N/A,FALSE,"Cash Flows";#N/A,#N/A,FALSE,"Fixed Assets";#N/A,#N/A,FALSE,"Balance Sheet";#N/A,#N/A,FALSE,"P &amp; L"}</definedName>
    <definedName name="asda2" localSheetId="5" hidden="1">{#N/A,#N/A,FALSE,"Cash Flows";#N/A,#N/A,FALSE,"Fixed Assets";#N/A,#N/A,FALSE,"Balance Sheet";#N/A,#N/A,FALSE,"P &amp; L"}</definedName>
    <definedName name="asda2" localSheetId="2" hidden="1">{#N/A,#N/A,FALSE,"Cash Flows";#N/A,#N/A,FALSE,"Fixed Assets";#N/A,#N/A,FALSE,"Balance Sheet";#N/A,#N/A,FALSE,"P &amp; L"}</definedName>
    <definedName name="asda2" localSheetId="0" hidden="1">{#N/A,#N/A,FALSE,"Cash Flows";#N/A,#N/A,FALSE,"Fixed Assets";#N/A,#N/A,FALSE,"Balance Sheet";#N/A,#N/A,FALSE,"P &amp; L"}</definedName>
    <definedName name="asda2" localSheetId="8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f" localSheetId="7">'[2]LDP 50'!#REF!</definedName>
    <definedName name="asdf" localSheetId="0">'[2]LDP 50'!#REF!</definedName>
    <definedName name="asdf">'[2]LDP 50'!#REF!</definedName>
    <definedName name="Attributes" localSheetId="7">#REF!</definedName>
    <definedName name="Attributes" localSheetId="0">#REF!</definedName>
    <definedName name="Attributes">#REF!</definedName>
    <definedName name="Aug" localSheetId="3" hidden="1">{#N/A,#N/A,FALSE,"Cash Flows";#N/A,#N/A,FALSE,"Fixed Assets";#N/A,#N/A,FALSE,"Balance Sheet";#N/A,#N/A,FALSE,"P &amp; L"}</definedName>
    <definedName name="Aug" localSheetId="7" hidden="1">{#N/A,#N/A,FALSE,"Cash Flows";#N/A,#N/A,FALSE,"Fixed Assets";#N/A,#N/A,FALSE,"Balance Sheet";#N/A,#N/A,FALSE,"P &amp; L"}</definedName>
    <definedName name="Aug" localSheetId="4" hidden="1">{#N/A,#N/A,FALSE,"Cash Flows";#N/A,#N/A,FALSE,"Fixed Assets";#N/A,#N/A,FALSE,"Balance Sheet";#N/A,#N/A,FALSE,"P &amp; L"}</definedName>
    <definedName name="Aug" localSheetId="5" hidden="1">{#N/A,#N/A,FALSE,"Cash Flows";#N/A,#N/A,FALSE,"Fixed Assets";#N/A,#N/A,FALSE,"Balance Sheet";#N/A,#N/A,FALSE,"P &amp; L"}</definedName>
    <definedName name="Aug" localSheetId="2" hidden="1">{#N/A,#N/A,FALSE,"Cash Flows";#N/A,#N/A,FALSE,"Fixed Assets";#N/A,#N/A,FALSE,"Balance Sheet";#N/A,#N/A,FALSE,"P &amp; L"}</definedName>
    <definedName name="Aug" localSheetId="0" hidden="1">{#N/A,#N/A,FALSE,"Cash Flows";#N/A,#N/A,FALSE,"Fixed Assets";#N/A,#N/A,FALSE,"Balance Sheet";#N/A,#N/A,FALSE,"P &amp; L"}</definedName>
    <definedName name="Aug" localSheetId="8" hidden="1">{#N/A,#N/A,FALSE,"Cash Flows";#N/A,#N/A,FALSE,"Fixed Assets";#N/A,#N/A,FALSE,"Balance Sheet";#N/A,#N/A,FALSE,"P &amp; L"}</definedName>
    <definedName name="Aug" hidden="1">{#N/A,#N/A,FALSE,"Cash Flows";#N/A,#N/A,FALSE,"Fixed Assets";#N/A,#N/A,FALSE,"Balance Sheet";#N/A,#N/A,FALSE,"P &amp; L"}</definedName>
    <definedName name="awc">NA()</definedName>
    <definedName name="AZ">NA()</definedName>
    <definedName name="B">NA()</definedName>
    <definedName name="b_?P">NA()</definedName>
    <definedName name="b23RTDKDK">NA()</definedName>
    <definedName name="BajajTempoBH" localSheetId="7">#REF!</definedName>
    <definedName name="BajajTempoBH" localSheetId="0">#REF!</definedName>
    <definedName name="BajajTempoBH">#REF!</definedName>
    <definedName name="BajajTempoBT" localSheetId="7">#REF!</definedName>
    <definedName name="BajajTempoBT" localSheetId="0">#REF!</definedName>
    <definedName name="BajajTempoBT">#REF!</definedName>
    <definedName name="bajajTempoMC" localSheetId="7">#REF!</definedName>
    <definedName name="bajajTempoMC" localSheetId="0">#REF!</definedName>
    <definedName name="bajajTempoMC">#REF!</definedName>
    <definedName name="bala" localSheetId="3" hidden="1">{#N/A,#N/A,FALSE,"Cash Flows";#N/A,#N/A,FALSE,"Fixed Assets";#N/A,#N/A,FALSE,"Balance Sheet";#N/A,#N/A,FALSE,"P &amp; L"}</definedName>
    <definedName name="bala" localSheetId="7" hidden="1">{#N/A,#N/A,FALSE,"Cash Flows";#N/A,#N/A,FALSE,"Fixed Assets";#N/A,#N/A,FALSE,"Balance Sheet";#N/A,#N/A,FALSE,"P &amp; L"}</definedName>
    <definedName name="bala" localSheetId="4" hidden="1">{#N/A,#N/A,FALSE,"Cash Flows";#N/A,#N/A,FALSE,"Fixed Assets";#N/A,#N/A,FALSE,"Balance Sheet";#N/A,#N/A,FALSE,"P &amp; L"}</definedName>
    <definedName name="bala" localSheetId="5" hidden="1">{#N/A,#N/A,FALSE,"Cash Flows";#N/A,#N/A,FALSE,"Fixed Assets";#N/A,#N/A,FALSE,"Balance Sheet";#N/A,#N/A,FALSE,"P &amp; L"}</definedName>
    <definedName name="bala" localSheetId="2" hidden="1">{#N/A,#N/A,FALSE,"Cash Flows";#N/A,#N/A,FALSE,"Fixed Assets";#N/A,#N/A,FALSE,"Balance Sheet";#N/A,#N/A,FALSE,"P &amp; L"}</definedName>
    <definedName name="bala" localSheetId="0" hidden="1">{#N/A,#N/A,FALSE,"Cash Flows";#N/A,#N/A,FALSE,"Fixed Assets";#N/A,#N/A,FALSE,"Balance Sheet";#N/A,#N/A,FALSE,"P &amp; L"}</definedName>
    <definedName name="bala" localSheetId="8" hidden="1">{#N/A,#N/A,FALSE,"Cash Flows";#N/A,#N/A,FALSE,"Fixed Assets";#N/A,#N/A,FALSE,"Balance Sheet";#N/A,#N/A,FALSE,"P &amp; L"}</definedName>
    <definedName name="bala" hidden="1">{#N/A,#N/A,FALSE,"Cash Flows";#N/A,#N/A,FALSE,"Fixed Assets";#N/A,#N/A,FALSE,"Balance Sheet";#N/A,#N/A,FALSE,"P &amp; L"}</definedName>
    <definedName name="BALBH" localSheetId="7">#REF!</definedName>
    <definedName name="BALBH" localSheetId="0">#REF!</definedName>
    <definedName name="BALBH">#REF!</definedName>
    <definedName name="BALBT" localSheetId="7">#REF!</definedName>
    <definedName name="BALBT" localSheetId="0">#REF!</definedName>
    <definedName name="BALBT">#REF!</definedName>
    <definedName name="BALMC" localSheetId="7">#REF!</definedName>
    <definedName name="BALMC" localSheetId="0">#REF!</definedName>
    <definedName name="BALMC">#REF!</definedName>
    <definedName name="balwal" localSheetId="6">#REF!</definedName>
    <definedName name="balwal" localSheetId="5">#REF!</definedName>
    <definedName name="balwal" localSheetId="0">#REF!</definedName>
    <definedName name="balwal">#REF!</definedName>
    <definedName name="BaseData_1" localSheetId="3" hidden="1">{#N/A,#N/A,FALSE,"Cash Flows";#N/A,#N/A,FALSE,"Fixed Assets";#N/A,#N/A,FALSE,"Balance Sheet";#N/A,#N/A,FALSE,"P &amp; L"}</definedName>
    <definedName name="BaseData_1" localSheetId="7" hidden="1">{#N/A,#N/A,FALSE,"Cash Flows";#N/A,#N/A,FALSE,"Fixed Assets";#N/A,#N/A,FALSE,"Balance Sheet";#N/A,#N/A,FALSE,"P &amp; L"}</definedName>
    <definedName name="BaseData_1" localSheetId="4" hidden="1">{#N/A,#N/A,FALSE,"Cash Flows";#N/A,#N/A,FALSE,"Fixed Assets";#N/A,#N/A,FALSE,"Balance Sheet";#N/A,#N/A,FALSE,"P &amp; L"}</definedName>
    <definedName name="BaseData_1" localSheetId="5" hidden="1">{#N/A,#N/A,FALSE,"Cash Flows";#N/A,#N/A,FALSE,"Fixed Assets";#N/A,#N/A,FALSE,"Balance Sheet";#N/A,#N/A,FALSE,"P &amp; L"}</definedName>
    <definedName name="BaseData_1" localSheetId="2" hidden="1">{#N/A,#N/A,FALSE,"Cash Flows";#N/A,#N/A,FALSE,"Fixed Assets";#N/A,#N/A,FALSE,"Balance Sheet";#N/A,#N/A,FALSE,"P &amp; L"}</definedName>
    <definedName name="BaseData_1" localSheetId="0" hidden="1">{#N/A,#N/A,FALSE,"Cash Flows";#N/A,#N/A,FALSE,"Fixed Assets";#N/A,#N/A,FALSE,"Balance Sheet";#N/A,#N/A,FALSE,"P &amp; L"}</definedName>
    <definedName name="BaseData_1" localSheetId="8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c">NA()</definedName>
    <definedName name="bha" localSheetId="3" hidden="1">{#N/A,#N/A,TRUE,"Summary";#N/A,#N/A,TRUE,"Balance Sheet";#N/A,#N/A,TRUE,"P &amp; L";#N/A,#N/A,TRUE,"Fixed Assets";#N/A,#N/A,TRUE,"Cash Flows"}</definedName>
    <definedName name="bha" localSheetId="7" hidden="1">{#N/A,#N/A,TRUE,"Summary";#N/A,#N/A,TRUE,"Balance Sheet";#N/A,#N/A,TRUE,"P &amp; L";#N/A,#N/A,TRUE,"Fixed Assets";#N/A,#N/A,TRUE,"Cash Flows"}</definedName>
    <definedName name="bha" localSheetId="4" hidden="1">{#N/A,#N/A,TRUE,"Summary";#N/A,#N/A,TRUE,"Balance Sheet";#N/A,#N/A,TRUE,"P &amp; L";#N/A,#N/A,TRUE,"Fixed Assets";#N/A,#N/A,TRUE,"Cash Flows"}</definedName>
    <definedName name="bha" localSheetId="5" hidden="1">{#N/A,#N/A,TRUE,"Summary";#N/A,#N/A,TRUE,"Balance Sheet";#N/A,#N/A,TRUE,"P &amp; L";#N/A,#N/A,TRUE,"Fixed Assets";#N/A,#N/A,TRUE,"Cash Flows"}</definedName>
    <definedName name="bha" localSheetId="2" hidden="1">{#N/A,#N/A,TRUE,"Summary";#N/A,#N/A,TRUE,"Balance Sheet";#N/A,#N/A,TRUE,"P &amp; L";#N/A,#N/A,TRUE,"Fixed Assets";#N/A,#N/A,TRUE,"Cash Flows"}</definedName>
    <definedName name="bha" localSheetId="0" hidden="1">{#N/A,#N/A,TRUE,"Summary";#N/A,#N/A,TRUE,"Balance Sheet";#N/A,#N/A,TRUE,"P &amp; L";#N/A,#N/A,TRUE,"Fixed Assets";#N/A,#N/A,TRUE,"Cash Flows"}</definedName>
    <definedName name="bha" localSheetId="8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3" hidden="1">{#N/A,#N/A,FALSE,"Cash Flows";#N/A,#N/A,FALSE,"Fixed Assets";#N/A,#N/A,FALSE,"Balance Sheet";#N/A,#N/A,FALSE,"P &amp; L"}</definedName>
    <definedName name="bhavesh" localSheetId="7" hidden="1">{#N/A,#N/A,FALSE,"Cash Flows";#N/A,#N/A,FALSE,"Fixed Assets";#N/A,#N/A,FALSE,"Balance Sheet";#N/A,#N/A,FALSE,"P &amp; L"}</definedName>
    <definedName name="bhavesh" localSheetId="4" hidden="1">{#N/A,#N/A,FALSE,"Cash Flows";#N/A,#N/A,FALSE,"Fixed Assets";#N/A,#N/A,FALSE,"Balance Sheet";#N/A,#N/A,FALSE,"P &amp; L"}</definedName>
    <definedName name="bhavesh" localSheetId="5" hidden="1">{#N/A,#N/A,FALSE,"Cash Flows";#N/A,#N/A,FALSE,"Fixed Assets";#N/A,#N/A,FALSE,"Balance Sheet";#N/A,#N/A,FALSE,"P &amp; L"}</definedName>
    <definedName name="bhavesh" localSheetId="2" hidden="1">{#N/A,#N/A,FALSE,"Cash Flows";#N/A,#N/A,FALSE,"Fixed Assets";#N/A,#N/A,FALSE,"Balance Sheet";#N/A,#N/A,FALSE,"P &amp; L"}</definedName>
    <definedName name="bhavesh" localSheetId="0" hidden="1">{#N/A,#N/A,FALSE,"Cash Flows";#N/A,#N/A,FALSE,"Fixed Assets";#N/A,#N/A,FALSE,"Balance Sheet";#N/A,#N/A,FALSE,"P &amp; L"}</definedName>
    <definedName name="bhavesh" localSheetId="8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aveshm" localSheetId="7" hidden="1">{#N/A,#N/A,FALSE,"Cash Flows";#N/A,#N/A,FALSE,"Fixed Assets";#N/A,#N/A,FALSE,"Balance Sheet";#N/A,#N/A,FALSE,"P &amp; L"}</definedName>
    <definedName name="bhaveshm" localSheetId="4" hidden="1">{#N/A,#N/A,FALSE,"Cash Flows";#N/A,#N/A,FALSE,"Fixed Assets";#N/A,#N/A,FALSE,"Balance Sheet";#N/A,#N/A,FALSE,"P &amp; L"}</definedName>
    <definedName name="bhaveshm" localSheetId="5" hidden="1">{#N/A,#N/A,FALSE,"Cash Flows";#N/A,#N/A,FALSE,"Fixed Assets";#N/A,#N/A,FALSE,"Balance Sheet";#N/A,#N/A,FALSE,"P &amp; L"}</definedName>
    <definedName name="bhaveshm" localSheetId="2" hidden="1">{#N/A,#N/A,FALSE,"Cash Flows";#N/A,#N/A,FALSE,"Fixed Assets";#N/A,#N/A,FALSE,"Balance Sheet";#N/A,#N/A,FALSE,"P &amp; L"}</definedName>
    <definedName name="bhaveshm" localSheetId="0" hidden="1">{#N/A,#N/A,FALSE,"Cash Flows";#N/A,#N/A,FALSE,"Fixed Assets";#N/A,#N/A,FALSE,"Balance Sheet";#N/A,#N/A,FALSE,"P &amp; L"}</definedName>
    <definedName name="bhaveshm" localSheetId="8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IWaug" localSheetId="3" hidden="1">{#N/A,#N/A,FALSE,"Cash Flows";#N/A,#N/A,FALSE,"Fixed Assets";#N/A,#N/A,FALSE,"Balance Sheet";#N/A,#N/A,FALSE,"P &amp; L"}</definedName>
    <definedName name="BIWaug" localSheetId="7" hidden="1">{#N/A,#N/A,FALSE,"Cash Flows";#N/A,#N/A,FALSE,"Fixed Assets";#N/A,#N/A,FALSE,"Balance Sheet";#N/A,#N/A,FALSE,"P &amp; L"}</definedName>
    <definedName name="BIWaug" localSheetId="4" hidden="1">{#N/A,#N/A,FALSE,"Cash Flows";#N/A,#N/A,FALSE,"Fixed Assets";#N/A,#N/A,FALSE,"Balance Sheet";#N/A,#N/A,FALSE,"P &amp; L"}</definedName>
    <definedName name="BIWaug" localSheetId="5" hidden="1">{#N/A,#N/A,FALSE,"Cash Flows";#N/A,#N/A,FALSE,"Fixed Assets";#N/A,#N/A,FALSE,"Balance Sheet";#N/A,#N/A,FALSE,"P &amp; L"}</definedName>
    <definedName name="BIWaug" localSheetId="2" hidden="1">{#N/A,#N/A,FALSE,"Cash Flows";#N/A,#N/A,FALSE,"Fixed Assets";#N/A,#N/A,FALSE,"Balance Sheet";#N/A,#N/A,FALSE,"P &amp; L"}</definedName>
    <definedName name="BIWaug" localSheetId="0" hidden="1">{#N/A,#N/A,FALSE,"Cash Flows";#N/A,#N/A,FALSE,"Fixed Assets";#N/A,#N/A,FALSE,"Balance Sheet";#N/A,#N/A,FALSE,"P &amp; L"}</definedName>
    <definedName name="BIWaug" localSheetId="8" hidden="1">{#N/A,#N/A,FALSE,"Cash Flows";#N/A,#N/A,FALSE,"Fixed Assets";#N/A,#N/A,FALSE,"Balance Sheet";#N/A,#N/A,FALSE,"P &amp; L"}</definedName>
    <definedName name="BIWaug" hidden="1">{#N/A,#N/A,FALSE,"Cash Flows";#N/A,#N/A,FALSE,"Fixed Assets";#N/A,#N/A,FALSE,"Balance Sheet";#N/A,#N/A,FALSE,"P &amp; L"}</definedName>
    <definedName name="CD" localSheetId="7">#REF!</definedName>
    <definedName name="CD" localSheetId="0">#REF!</definedName>
    <definedName name="CD">#REF!</definedName>
    <definedName name="CFprprprrkrkrkrkpdpddkdkdkdkdkd">NA()</definedName>
    <definedName name="Chapter" localSheetId="7">#REF!</definedName>
    <definedName name="Chapter" localSheetId="0">#REF!</definedName>
    <definedName name="Chapter">#REF!</definedName>
    <definedName name="CMAFORM2" localSheetId="7">#REF!</definedName>
    <definedName name="CMAFORM2" localSheetId="0">#REF!</definedName>
    <definedName name="CMAFORM2">#REF!</definedName>
    <definedName name="Count" localSheetId="7">#REF!</definedName>
    <definedName name="Count" localSheetId="0">#REF!</definedName>
    <definedName name="Count">#REF!</definedName>
    <definedName name="Cur_Den" localSheetId="7">#REF!</definedName>
    <definedName name="Cur_Den" localSheetId="0">#REF!</definedName>
    <definedName name="Cur_Den">#REF!</definedName>
    <definedName name="Cur_Scale" localSheetId="7">#REF!</definedName>
    <definedName name="Cur_Scale" localSheetId="0">#REF!</definedName>
    <definedName name="Cur_Scale">#REF!</definedName>
    <definedName name="Currency" localSheetId="7">#REF!</definedName>
    <definedName name="Currency" localSheetId="0">#REF!</definedName>
    <definedName name="Currency">#REF!</definedName>
    <definedName name="currency_range" localSheetId="7">OFFSET(#REF!,0,0,COUNTA(#REF!),1)</definedName>
    <definedName name="currency_range" localSheetId="0">OFFSET(#REF!,0,0,COUNTA(#REF!),1)</definedName>
    <definedName name="currency_range">OFFSET(#REF!,0,0,COUNTA(#REF!),1)</definedName>
    <definedName name="Currency_Scale" localSheetId="7">#REF!</definedName>
    <definedName name="Currency_Scale" localSheetId="0">#REF!</definedName>
    <definedName name="Currency_Scale">#REF!</definedName>
    <definedName name="cvb" localSheetId="3" hidden="1">{#N/A,#N/A,FALSE,"Cash Flows";#N/A,#N/A,FALSE,"Fixed Assets";#N/A,#N/A,FALSE,"Balance Sheet";#N/A,#N/A,FALSE,"P &amp; L"}</definedName>
    <definedName name="cvb" localSheetId="7" hidden="1">{#N/A,#N/A,FALSE,"Cash Flows";#N/A,#N/A,FALSE,"Fixed Assets";#N/A,#N/A,FALSE,"Balance Sheet";#N/A,#N/A,FALSE,"P &amp; L"}</definedName>
    <definedName name="cvb" localSheetId="4" hidden="1">{#N/A,#N/A,FALSE,"Cash Flows";#N/A,#N/A,FALSE,"Fixed Assets";#N/A,#N/A,FALSE,"Balance Sheet";#N/A,#N/A,FALSE,"P &amp; L"}</definedName>
    <definedName name="cvb" localSheetId="5" hidden="1">{#N/A,#N/A,FALSE,"Cash Flows";#N/A,#N/A,FALSE,"Fixed Assets";#N/A,#N/A,FALSE,"Balance Sheet";#N/A,#N/A,FALSE,"P &amp; L"}</definedName>
    <definedName name="cvb" localSheetId="2" hidden="1">{#N/A,#N/A,FALSE,"Cash Flows";#N/A,#N/A,FALSE,"Fixed Assets";#N/A,#N/A,FALSE,"Balance Sheet";#N/A,#N/A,FALSE,"P &amp; L"}</definedName>
    <definedName name="cvb" localSheetId="0" hidden="1">{#N/A,#N/A,FALSE,"Cash Flows";#N/A,#N/A,FALSE,"Fixed Assets";#N/A,#N/A,FALSE,"Balance Sheet";#N/A,#N/A,FALSE,"P &amp; L"}</definedName>
    <definedName name="cvb" localSheetId="8" hidden="1">{#N/A,#N/A,FALSE,"Cash Flows";#N/A,#N/A,FALSE,"Fixed Assets";#N/A,#N/A,FALSE,"Balance Sheet";#N/A,#N/A,FALSE,"P &amp; L"}</definedName>
    <definedName name="cvb" hidden="1">{#N/A,#N/A,FALSE,"Cash Flows";#N/A,#N/A,FALSE,"Fixed Assets";#N/A,#N/A,FALSE,"Balance Sheet";#N/A,#N/A,FALSE,"P &amp; L"}</definedName>
    <definedName name="CVD" localSheetId="7">#REF!</definedName>
    <definedName name="CVD" localSheetId="0">#REF!</definedName>
    <definedName name="CVD">#REF!</definedName>
    <definedName name="Cyear" localSheetId="7">#REF!</definedName>
    <definedName name="Cyear" localSheetId="0">#REF!</definedName>
    <definedName name="Cyear">#REF!</definedName>
    <definedName name="d">NA()</definedName>
    <definedName name="DaewooBH" localSheetId="7">#REF!</definedName>
    <definedName name="DaewooBH" localSheetId="0">#REF!</definedName>
    <definedName name="DaewooBH">#REF!</definedName>
    <definedName name="DaewooBT" localSheetId="7">#REF!</definedName>
    <definedName name="DaewooBT" localSheetId="0">#REF!</definedName>
    <definedName name="DaewooBT">#REF!</definedName>
    <definedName name="DaewooMC" localSheetId="7">#REF!</definedName>
    <definedName name="DaewooMC" localSheetId="0">#REF!</definedName>
    <definedName name="DaewooMC">#REF!</definedName>
    <definedName name="_xlnm.Database" localSheetId="6">#REF!</definedName>
    <definedName name="_xlnm.Database" localSheetId="5">#REF!</definedName>
    <definedName name="_xlnm.Database" localSheetId="0">#REF!</definedName>
    <definedName name="_xlnm.Database">#REF!</definedName>
    <definedName name="dd">NA()</definedName>
    <definedName name="Denomination" localSheetId="7">#REF!</definedName>
    <definedName name="Denomination" localSheetId="0">#REF!</definedName>
    <definedName name="Denomination">#REF!</definedName>
    <definedName name="diff" localSheetId="7">#REF!</definedName>
    <definedName name="diff" localSheetId="0">#REF!</definedName>
    <definedName name="diff">#REF!</definedName>
    <definedName name="DIPL" localSheetId="7">#REF!</definedName>
    <definedName name="DIPL" localSheetId="0">#REF!</definedName>
    <definedName name="DIPL">#REF!</definedName>
    <definedName name="DIPL1" localSheetId="7">#REF!</definedName>
    <definedName name="DIPL1" localSheetId="0">#REF!</definedName>
    <definedName name="DIPL1">#REF!</definedName>
    <definedName name="DIPL23SEPT" localSheetId="7">#REF!</definedName>
    <definedName name="DIPL23SEPT" localSheetId="0">#REF!</definedName>
    <definedName name="DIPL23SEPT">#REF!</definedName>
    <definedName name="DKDKFG8TBTB2RT">NA()</definedName>
    <definedName name="duro" localSheetId="7">#REF!</definedName>
    <definedName name="duro" localSheetId="0">#REF!</definedName>
    <definedName name="duro">#REF!</definedName>
    <definedName name="DUROVALVE" localSheetId="7">#REF!</definedName>
    <definedName name="DUROVALVE" localSheetId="0">#REF!</definedName>
    <definedName name="DUROVALVE">#REF!</definedName>
    <definedName name="DUROVALVES1" localSheetId="7">#REF!</definedName>
    <definedName name="DUROVALVES1" localSheetId="0">#REF!</definedName>
    <definedName name="DUROVALVES1">#REF!</definedName>
    <definedName name="ED3__회훈_71.4_신창_4.9">NA()</definedName>
    <definedName name="EE">NA()</definedName>
    <definedName name="EicherBH" localSheetId="7">#REF!</definedName>
    <definedName name="EicherBH" localSheetId="0">#REF!</definedName>
    <definedName name="EicherBH">#REF!</definedName>
    <definedName name="EicherBT" localSheetId="7">#REF!</definedName>
    <definedName name="EicherBT" localSheetId="0">#REF!</definedName>
    <definedName name="EicherBT">#REF!</definedName>
    <definedName name="EicherMC" localSheetId="7">#REF!</definedName>
    <definedName name="EicherMC" localSheetId="0">#REF!</definedName>
    <definedName name="EicherMC">#REF!</definedName>
    <definedName name="EnggBH" localSheetId="7">#REF!</definedName>
    <definedName name="EnggBH" localSheetId="0">#REF!</definedName>
    <definedName name="EnggBH">#REF!</definedName>
    <definedName name="EnggBT" localSheetId="7">#REF!</definedName>
    <definedName name="EnggBT" localSheetId="0">#REF!</definedName>
    <definedName name="EnggBT">#REF!</definedName>
    <definedName name="EnggMC" localSheetId="7">#REF!</definedName>
    <definedName name="EnggMC" localSheetId="0">#REF!</definedName>
    <definedName name="EnggMC">#REF!</definedName>
    <definedName name="Excel_BuiltIn__FilterDatabase">"#REF!"</definedName>
    <definedName name="Excel_BuiltIn__FilterDatabase_1">"#REF!"</definedName>
    <definedName name="Excel_BuiltIn__FilterDatabase_1_1">"#REF!"</definedName>
    <definedName name="Excel_BuiltIn__FilterDatabase_1_1_1">"#REF!"</definedName>
    <definedName name="Excel_BuiltIn__FilterDatabase_1_1_2">"#REF!"</definedName>
    <definedName name="Excel_BuiltIn__FilterDatabase_1_2">"#REF!"</definedName>
    <definedName name="Excel_BuiltIn_Database">"$#REF!.$D$7:$V$4152"</definedName>
    <definedName name="Excel_BuiltIn_Print_Area">NA()</definedName>
    <definedName name="Excel_BuiltIn_Print_Area_1_1">"$#REF!.$A$1:$L$24"</definedName>
    <definedName name="Excel_BuiltIn_Print_Area_3">"$#REF!.$A$1:$L$11"</definedName>
    <definedName name="ExportsBH" localSheetId="7">#REF!</definedName>
    <definedName name="ExportsBH" localSheetId="0">#REF!</definedName>
    <definedName name="ExportsBH">#REF!</definedName>
    <definedName name="ExportsBT" localSheetId="7">#REF!</definedName>
    <definedName name="ExportsBT" localSheetId="0">#REF!</definedName>
    <definedName name="ExportsBT">#REF!</definedName>
    <definedName name="ExportsMC" localSheetId="7">#REF!</definedName>
    <definedName name="ExportsMC" localSheetId="0">#REF!</definedName>
    <definedName name="ExportsMC">#REF!</definedName>
    <definedName name="F" localSheetId="3" hidden="1">{#N/A,#N/A,FALSE,"Cash Flows";#N/A,#N/A,FALSE,"Fixed Assets";#N/A,#N/A,FALSE,"Balance Sheet";#N/A,#N/A,FALSE,"P &amp; L"}</definedName>
    <definedName name="F" localSheetId="7" hidden="1">{#N/A,#N/A,FALSE,"Cash Flows";#N/A,#N/A,FALSE,"Fixed Assets";#N/A,#N/A,FALSE,"Balance Sheet";#N/A,#N/A,FALSE,"P &amp; L"}</definedName>
    <definedName name="F" localSheetId="4" hidden="1">{#N/A,#N/A,FALSE,"Cash Flows";#N/A,#N/A,FALSE,"Fixed Assets";#N/A,#N/A,FALSE,"Balance Sheet";#N/A,#N/A,FALSE,"P &amp; L"}</definedName>
    <definedName name="F" localSheetId="5" hidden="1">{#N/A,#N/A,FALSE,"Cash Flows";#N/A,#N/A,FALSE,"Fixed Assets";#N/A,#N/A,FALSE,"Balance Sheet";#N/A,#N/A,FALSE,"P &amp; L"}</definedName>
    <definedName name="F" localSheetId="2" hidden="1">{#N/A,#N/A,FALSE,"Cash Flows";#N/A,#N/A,FALSE,"Fixed Assets";#N/A,#N/A,FALSE,"Balance Sheet";#N/A,#N/A,FALSE,"P &amp; L"}</definedName>
    <definedName name="F" localSheetId="0" hidden="1">{#N/A,#N/A,FALSE,"Cash Flows";#N/A,#N/A,FALSE,"Fixed Assets";#N/A,#N/A,FALSE,"Balance Sheet";#N/A,#N/A,FALSE,"P &amp; L"}</definedName>
    <definedName name="F" localSheetId="8" hidden="1">{#N/A,#N/A,FALSE,"Cash Flows";#N/A,#N/A,FALSE,"Fixed Assets";#N/A,#N/A,FALSE,"Balance Sheet";#N/A,#N/A,FALSE,"P &amp; L"}</definedName>
    <definedName name="F" hidden="1">{#N/A,#N/A,FALSE,"Cash Flows";#N/A,#N/A,FALSE,"Fixed Assets";#N/A,#N/A,FALSE,"Balance Sheet";#N/A,#N/A,FALSE,"P &amp; L"}</definedName>
    <definedName name="FDFS">NA()</definedName>
    <definedName name="fdfwegerger" localSheetId="3" hidden="1">{#N/A,#N/A,FALSE,"Cash Flows";#N/A,#N/A,FALSE,"Fixed Assets";#N/A,#N/A,FALSE,"Balance Sheet";#N/A,#N/A,FALSE,"P &amp; L"}</definedName>
    <definedName name="fdfwegerger" localSheetId="7" hidden="1">{#N/A,#N/A,FALSE,"Cash Flows";#N/A,#N/A,FALSE,"Fixed Assets";#N/A,#N/A,FALSE,"Balance Sheet";#N/A,#N/A,FALSE,"P &amp; L"}</definedName>
    <definedName name="fdfwegerger" localSheetId="4" hidden="1">{#N/A,#N/A,FALSE,"Cash Flows";#N/A,#N/A,FALSE,"Fixed Assets";#N/A,#N/A,FALSE,"Balance Sheet";#N/A,#N/A,FALSE,"P &amp; L"}</definedName>
    <definedName name="fdfwegerger" localSheetId="5" hidden="1">{#N/A,#N/A,FALSE,"Cash Flows";#N/A,#N/A,FALSE,"Fixed Assets";#N/A,#N/A,FALSE,"Balance Sheet";#N/A,#N/A,FALSE,"P &amp; L"}</definedName>
    <definedName name="fdfwegerger" localSheetId="2" hidden="1">{#N/A,#N/A,FALSE,"Cash Flows";#N/A,#N/A,FALSE,"Fixed Assets";#N/A,#N/A,FALSE,"Balance Sheet";#N/A,#N/A,FALSE,"P &amp; L"}</definedName>
    <definedName name="fdfwegerger" localSheetId="0" hidden="1">{#N/A,#N/A,FALSE,"Cash Flows";#N/A,#N/A,FALSE,"Fixed Assets";#N/A,#N/A,FALSE,"Balance Sheet";#N/A,#N/A,FALSE,"P &amp; L"}</definedName>
    <definedName name="fdfwegerger" localSheetId="8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f">NA()</definedName>
    <definedName name="FG" localSheetId="3" hidden="1">{#N/A,#N/A,FALSE,"Cash Flows";#N/A,#N/A,FALSE,"Fixed Assets";#N/A,#N/A,FALSE,"Balance Sheet";#N/A,#N/A,FALSE,"P &amp; L"}</definedName>
    <definedName name="FG" localSheetId="7" hidden="1">{#N/A,#N/A,FALSE,"Cash Flows";#N/A,#N/A,FALSE,"Fixed Assets";#N/A,#N/A,FALSE,"Balance Sheet";#N/A,#N/A,FALSE,"P &amp; L"}</definedName>
    <definedName name="FG" localSheetId="4" hidden="1">{#N/A,#N/A,FALSE,"Cash Flows";#N/A,#N/A,FALSE,"Fixed Assets";#N/A,#N/A,FALSE,"Balance Sheet";#N/A,#N/A,FALSE,"P &amp; L"}</definedName>
    <definedName name="FG" localSheetId="5" hidden="1">{#N/A,#N/A,FALSE,"Cash Flows";#N/A,#N/A,FALSE,"Fixed Assets";#N/A,#N/A,FALSE,"Balance Sheet";#N/A,#N/A,FALSE,"P &amp; L"}</definedName>
    <definedName name="FG" localSheetId="2" hidden="1">{#N/A,#N/A,FALSE,"Cash Flows";#N/A,#N/A,FALSE,"Fixed Assets";#N/A,#N/A,FALSE,"Balance Sheet";#N/A,#N/A,FALSE,"P &amp; L"}</definedName>
    <definedName name="FG" localSheetId="0" hidden="1">{#N/A,#N/A,FALSE,"Cash Flows";#N/A,#N/A,FALSE,"Fixed Assets";#N/A,#N/A,FALSE,"Balance Sheet";#N/A,#N/A,FALSE,"P &amp; L"}</definedName>
    <definedName name="FG" localSheetId="8" hidden="1">{#N/A,#N/A,FALSE,"Cash Flows";#N/A,#N/A,FALSE,"Fixed Assets";#N/A,#N/A,FALSE,"Balance Sheet";#N/A,#N/A,FALSE,"P &amp; L"}</definedName>
    <definedName name="FG" hidden="1">{#N/A,#N/A,FALSE,"Cash Flows";#N/A,#N/A,FALSE,"Fixed Assets";#N/A,#N/A,FALSE,"Balance Sheet";#N/A,#N/A,FALSE,"P &amp; L"}</definedName>
    <definedName name="FG12TBTB2RTDKDKGMLRT">NA()</definedName>
    <definedName name="FG22TBTB3RTDKDKDK">NA()</definedName>
    <definedName name="FG24RTDKDK">NA()</definedName>
    <definedName name="fgPRRKRKRKTBTB1RT">NA()</definedName>
    <definedName name="FGR12C15TBTB1RTDKDK">NA()</definedName>
    <definedName name="FGrkbs7tbtbsprt">NA()</definedName>
    <definedName name="FiatBH" localSheetId="7">#REF!</definedName>
    <definedName name="FiatBH" localSheetId="0">#REF!</definedName>
    <definedName name="FiatBH">#REF!</definedName>
    <definedName name="FiatBT" localSheetId="7">#REF!</definedName>
    <definedName name="FiatBT" localSheetId="0">#REF!</definedName>
    <definedName name="FiatBT">#REF!</definedName>
    <definedName name="FiatMC" localSheetId="7">#REF!</definedName>
    <definedName name="FiatMC" localSheetId="0">#REF!</definedName>
    <definedName name="FiatMC">#REF!</definedName>
    <definedName name="FordBH" localSheetId="7">#REF!</definedName>
    <definedName name="FordBH" localSheetId="0">#REF!</definedName>
    <definedName name="FordBH">#REF!</definedName>
    <definedName name="FordBT" localSheetId="7">#REF!</definedName>
    <definedName name="FordBT" localSheetId="0">#REF!</definedName>
    <definedName name="FordBT">#REF!</definedName>
    <definedName name="FordMC" localSheetId="7">#REF!</definedName>
    <definedName name="FordMC" localSheetId="0">#REF!</definedName>
    <definedName name="FordMC">#REF!</definedName>
    <definedName name="g_탩Y">NA()</definedName>
    <definedName name="gDataRange" localSheetId="6">#REF!</definedName>
    <definedName name="gDataRange" localSheetId="7">#REF!</definedName>
    <definedName name="gDataRange" localSheetId="4">#REF!</definedName>
    <definedName name="gDataRange" localSheetId="5">#REF!</definedName>
    <definedName name="gDataRange" localSheetId="1">#REF!</definedName>
    <definedName name="gDataRange" localSheetId="0">#REF!</definedName>
    <definedName name="gDataRange">#REF!</definedName>
    <definedName name="GDGDG">NA()</definedName>
    <definedName name="GFDGFSDAG">NA()</definedName>
    <definedName name="GH">NA()</definedName>
    <definedName name="GHJGH">NA()</definedName>
    <definedName name="GHJIKH" localSheetId="3" hidden="1">{#N/A,#N/A,TRUE,"Summary";#N/A,#N/A,TRUE,"Balance Sheet";#N/A,#N/A,TRUE,"P &amp; L";#N/A,#N/A,TRUE,"Fixed Assets";#N/A,#N/A,TRUE,"Cash Flows"}</definedName>
    <definedName name="GHJIKH" localSheetId="7" hidden="1">{#N/A,#N/A,TRUE,"Summary";#N/A,#N/A,TRUE,"Balance Sheet";#N/A,#N/A,TRUE,"P &amp; L";#N/A,#N/A,TRUE,"Fixed Assets";#N/A,#N/A,TRUE,"Cash Flows"}</definedName>
    <definedName name="GHJIKH" localSheetId="4" hidden="1">{#N/A,#N/A,TRUE,"Summary";#N/A,#N/A,TRUE,"Balance Sheet";#N/A,#N/A,TRUE,"P &amp; L";#N/A,#N/A,TRUE,"Fixed Assets";#N/A,#N/A,TRUE,"Cash Flows"}</definedName>
    <definedName name="GHJIKH" localSheetId="5" hidden="1">{#N/A,#N/A,TRUE,"Summary";#N/A,#N/A,TRUE,"Balance Sheet";#N/A,#N/A,TRUE,"P &amp; L";#N/A,#N/A,TRUE,"Fixed Assets";#N/A,#N/A,TRUE,"Cash Flows"}</definedName>
    <definedName name="GHJIKH" localSheetId="2" hidden="1">{#N/A,#N/A,TRUE,"Summary";#N/A,#N/A,TRUE,"Balance Sheet";#N/A,#N/A,TRUE,"P &amp; L";#N/A,#N/A,TRUE,"Fixed Assets";#N/A,#N/A,TRUE,"Cash Flows"}</definedName>
    <definedName name="GHJIKH" localSheetId="0" hidden="1">{#N/A,#N/A,TRUE,"Summary";#N/A,#N/A,TRUE,"Balance Sheet";#N/A,#N/A,TRUE,"P &amp; L";#N/A,#N/A,TRUE,"Fixed Assets";#N/A,#N/A,TRUE,"Cash Flows"}</definedName>
    <definedName name="GHJIKH" localSheetId="8" hidden="1">{#N/A,#N/A,TRUE,"Summary";#N/A,#N/A,TRUE,"Balance Sheet";#N/A,#N/A,TRUE,"P &amp; L";#N/A,#N/A,TRUE,"Fixed Assets";#N/A,#N/A,TRUE,"Cash Flows"}</definedName>
    <definedName name="GHJIKH" hidden="1">{#N/A,#N/A,TRUE,"Summary";#N/A,#N/A,TRUE,"Balance Sheet";#N/A,#N/A,TRUE,"P &amp; L";#N/A,#N/A,TRUE,"Fixed Assets";#N/A,#N/A,TRUE,"Cash Flows"}</definedName>
    <definedName name="GMBH" localSheetId="7">#REF!</definedName>
    <definedName name="GMBH" localSheetId="0">#REF!</definedName>
    <definedName name="GMBH">#REF!</definedName>
    <definedName name="GMBT" localSheetId="7">#REF!</definedName>
    <definedName name="GMBT" localSheetId="0">#REF!</definedName>
    <definedName name="GMBT">#REF!</definedName>
    <definedName name="GMMC" localSheetId="7">#REF!</definedName>
    <definedName name="GMMC" localSheetId="0">#REF!</definedName>
    <definedName name="GMMC">#REF!</definedName>
    <definedName name="H11A01K">NA()</definedName>
    <definedName name="halol">[3]HALOL!$A$10:$D$182</definedName>
    <definedName name="Height">10</definedName>
    <definedName name="HGHGHG">NA()</definedName>
    <definedName name="HP1원단위">NA()</definedName>
    <definedName name="HyundaiBH" localSheetId="7">#REF!</definedName>
    <definedName name="HyundaiBH" localSheetId="0">#REF!</definedName>
    <definedName name="HyundaiBH">#REF!</definedName>
    <definedName name="HyundaiBT" localSheetId="7">#REF!</definedName>
    <definedName name="HyundaiBT" localSheetId="0">#REF!</definedName>
    <definedName name="HyundaiBT">#REF!</definedName>
    <definedName name="HyundaiMC" localSheetId="7">#REF!</definedName>
    <definedName name="HyundaiMC" localSheetId="0">#REF!</definedName>
    <definedName name="HyundaiMC">#REF!</definedName>
    <definedName name="II">NA()</definedName>
    <definedName name="InterBH" localSheetId="7">#REF!</definedName>
    <definedName name="InterBH" localSheetId="0">#REF!</definedName>
    <definedName name="InterBH">#REF!</definedName>
    <definedName name="InterBT" localSheetId="7">#REF!</definedName>
    <definedName name="InterBT" localSheetId="0">#REF!</definedName>
    <definedName name="InterBT">#REF!</definedName>
    <definedName name="InterMC" localSheetId="7">#REF!</definedName>
    <definedName name="InterMC" localSheetId="0">#REF!</definedName>
    <definedName name="InterMC">#REF!</definedName>
    <definedName name="Isample" localSheetId="7">#REF!</definedName>
    <definedName name="Isample" localSheetId="0">#REF!</definedName>
    <definedName name="Isample">#REF!</definedName>
    <definedName name="JITU" localSheetId="7">#REF!</definedName>
    <definedName name="JITU" localSheetId="0">#REF!</definedName>
    <definedName name="JITU">#REF!</definedName>
    <definedName name="JJ">NA()</definedName>
    <definedName name="jmgkdjgkdfjgkf" localSheetId="3" hidden="1">{#N/A,#N/A,FALSE,"Cash Flows";#N/A,#N/A,FALSE,"Fixed Assets";#N/A,#N/A,FALSE,"Balance Sheet";#N/A,#N/A,FALSE,"P &amp; L"}</definedName>
    <definedName name="jmgkdjgkdfjgkf" localSheetId="7" hidden="1">{#N/A,#N/A,FALSE,"Cash Flows";#N/A,#N/A,FALSE,"Fixed Assets";#N/A,#N/A,FALSE,"Balance Sheet";#N/A,#N/A,FALSE,"P &amp; L"}</definedName>
    <definedName name="jmgkdjgkdfjgkf" localSheetId="4" hidden="1">{#N/A,#N/A,FALSE,"Cash Flows";#N/A,#N/A,FALSE,"Fixed Assets";#N/A,#N/A,FALSE,"Balance Sheet";#N/A,#N/A,FALSE,"P &amp; L"}</definedName>
    <definedName name="jmgkdjgkdfjgkf" localSheetId="5" hidden="1">{#N/A,#N/A,FALSE,"Cash Flows";#N/A,#N/A,FALSE,"Fixed Assets";#N/A,#N/A,FALSE,"Balance Sheet";#N/A,#N/A,FALSE,"P &amp; L"}</definedName>
    <definedName name="jmgkdjgkdfjgkf" localSheetId="2" hidden="1">{#N/A,#N/A,FALSE,"Cash Flows";#N/A,#N/A,FALSE,"Fixed Assets";#N/A,#N/A,FALSE,"Balance Sheet";#N/A,#N/A,FALSE,"P &amp; L"}</definedName>
    <definedName name="jmgkdjgkdfjgkf" localSheetId="0" hidden="1">{#N/A,#N/A,FALSE,"Cash Flows";#N/A,#N/A,FALSE,"Fixed Assets";#N/A,#N/A,FALSE,"Balance Sheet";#N/A,#N/A,FALSE,"P &amp; L"}</definedName>
    <definedName name="jmgkdjgkdfjgkf" localSheetId="8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KK">NA()</definedName>
    <definedName name="KKENGG" localSheetId="7">#REF!</definedName>
    <definedName name="KKENGG" localSheetId="0">#REF!</definedName>
    <definedName name="KKENGG">#REF!</definedName>
    <definedName name="L">NA()</definedName>
    <definedName name="lee">NA()</definedName>
    <definedName name="LIST">NA()</definedName>
    <definedName name="Lookup" localSheetId="7">#REF!</definedName>
    <definedName name="Lookup" localSheetId="0">#REF!</definedName>
    <definedName name="Lookup">#REF!</definedName>
    <definedName name="lookup2" localSheetId="7">#REF!</definedName>
    <definedName name="lookup2" localSheetId="0">#REF!</definedName>
    <definedName name="lookup2">#REF!</definedName>
    <definedName name="MA">NA()</definedName>
    <definedName name="Macro1">NA()</definedName>
    <definedName name="Macro10">NA()</definedName>
    <definedName name="Macro11">NA()</definedName>
    <definedName name="Macro12">NA()</definedName>
    <definedName name="Macro13">NA()</definedName>
    <definedName name="Macro15">NA()</definedName>
    <definedName name="Macro16">NA()</definedName>
    <definedName name="Macro21">NA()</definedName>
    <definedName name="Macro4">NA()</definedName>
    <definedName name="Macro5">NA()</definedName>
    <definedName name="Macro6">NA()</definedName>
    <definedName name="Macro7">NA()</definedName>
    <definedName name="Macro8">NA()</definedName>
    <definedName name="Macro9">NA()</definedName>
    <definedName name="Make" localSheetId="7">#REF!</definedName>
    <definedName name="Make" localSheetId="0">#REF!</definedName>
    <definedName name="Make">#REF!</definedName>
    <definedName name="MakeN" localSheetId="7">#REF!</definedName>
    <definedName name="MakeN" localSheetId="0">#REF!</definedName>
    <definedName name="MakeN">#REF!</definedName>
    <definedName name="Market" localSheetId="7">#REF!</definedName>
    <definedName name="Market" localSheetId="0">#REF!</definedName>
    <definedName name="Market">#REF!</definedName>
    <definedName name="MarutiBT" localSheetId="7">#REF!</definedName>
    <definedName name="MarutiBT" localSheetId="0">#REF!</definedName>
    <definedName name="MarutiBT">#REF!</definedName>
    <definedName name="MASC">NA()</definedName>
    <definedName name="MB">NA()</definedName>
    <definedName name="mbj" localSheetId="3" hidden="1">{#N/A,#N/A,FALSE,"Cash Flows";#N/A,#N/A,FALSE,"Fixed Assets";#N/A,#N/A,FALSE,"Balance Sheet";#N/A,#N/A,FALSE,"P &amp; L"}</definedName>
    <definedName name="mbj" localSheetId="7" hidden="1">{#N/A,#N/A,FALSE,"Cash Flows";#N/A,#N/A,FALSE,"Fixed Assets";#N/A,#N/A,FALSE,"Balance Sheet";#N/A,#N/A,FALSE,"P &amp; L"}</definedName>
    <definedName name="mbj" localSheetId="4" hidden="1">{#N/A,#N/A,FALSE,"Cash Flows";#N/A,#N/A,FALSE,"Fixed Assets";#N/A,#N/A,FALSE,"Balance Sheet";#N/A,#N/A,FALSE,"P &amp; L"}</definedName>
    <definedName name="mbj" localSheetId="5" hidden="1">{#N/A,#N/A,FALSE,"Cash Flows";#N/A,#N/A,FALSE,"Fixed Assets";#N/A,#N/A,FALSE,"Balance Sheet";#N/A,#N/A,FALSE,"P &amp; L"}</definedName>
    <definedName name="mbj" localSheetId="2" hidden="1">{#N/A,#N/A,FALSE,"Cash Flows";#N/A,#N/A,FALSE,"Fixed Assets";#N/A,#N/A,FALSE,"Balance Sheet";#N/A,#N/A,FALSE,"P &amp; L"}</definedName>
    <definedName name="mbj" localSheetId="0" hidden="1">{#N/A,#N/A,FALSE,"Cash Flows";#N/A,#N/A,FALSE,"Fixed Assets";#N/A,#N/A,FALSE,"Balance Sheet";#N/A,#N/A,FALSE,"P &amp; L"}</definedName>
    <definedName name="mbj" localSheetId="8" hidden="1">{#N/A,#N/A,FALSE,"Cash Flows";#N/A,#N/A,FALSE,"Fixed Assets";#N/A,#N/A,FALSE,"Balance Sheet";#N/A,#N/A,FALSE,"P &amp; L"}</definedName>
    <definedName name="mbj" hidden="1">{#N/A,#N/A,FALSE,"Cash Flows";#N/A,#N/A,FALSE,"Fixed Assets";#N/A,#N/A,FALSE,"Balance Sheet";#N/A,#N/A,FALSE,"P &amp; L"}</definedName>
    <definedName name="MbProb_num" localSheetId="7">#REF!</definedName>
    <definedName name="MbProb_num" localSheetId="0">#REF!</definedName>
    <definedName name="MbProb_num">#REF!</definedName>
    <definedName name="mc">NA()</definedName>
    <definedName name="MDappr" localSheetId="7">#REF!</definedName>
    <definedName name="MDappr" localSheetId="0">#REF!</definedName>
    <definedName name="MDappr">#REF!</definedName>
    <definedName name="MMMUVBH" localSheetId="7">#REF!</definedName>
    <definedName name="MMMUVBH" localSheetId="0">#REF!</definedName>
    <definedName name="MMMUVBH">#REF!</definedName>
    <definedName name="MMMUVBT" localSheetId="7">#REF!</definedName>
    <definedName name="MMMUVBT" localSheetId="0">#REF!</definedName>
    <definedName name="MMMUVBT">#REF!</definedName>
    <definedName name="MMMUVMC" localSheetId="7">#REF!</definedName>
    <definedName name="MMMUVMC" localSheetId="0">#REF!</definedName>
    <definedName name="MMMUVMC">#REF!</definedName>
    <definedName name="MMTractorBH" localSheetId="7">#REF!</definedName>
    <definedName name="MMTractorBH" localSheetId="0">#REF!</definedName>
    <definedName name="MMTractorBH">#REF!</definedName>
    <definedName name="MMTractorBT" localSheetId="7">#REF!</definedName>
    <definedName name="MMTractorBT" localSheetId="0">#REF!</definedName>
    <definedName name="MMTractorBT">#REF!</definedName>
    <definedName name="MMTractorsMC" localSheetId="6">#REF!</definedName>
    <definedName name="MMTractorsMC" localSheetId="5">#REF!</definedName>
    <definedName name="MMTractorsMC" localSheetId="0">#REF!</definedName>
    <definedName name="MMTractorsMC">#REF!</definedName>
    <definedName name="MSFSFF">NA()</definedName>
    <definedName name="MULBH" localSheetId="7">#REF!</definedName>
    <definedName name="MULBH" localSheetId="0">#REF!</definedName>
    <definedName name="MULBH">#REF!</definedName>
    <definedName name="MULMC" localSheetId="7">#REF!</definedName>
    <definedName name="MULMC" localSheetId="0">#REF!</definedName>
    <definedName name="MULMC">#REF!</definedName>
    <definedName name="MZ">NA()</definedName>
    <definedName name="M행">"$#REF!.$V$11:$AC$11"</definedName>
    <definedName name="N">NA()</definedName>
    <definedName name="NITIN" localSheetId="7">#REF!</definedName>
    <definedName name="NITIN" localSheetId="0">#REF!</definedName>
    <definedName name="NITIN">#REF!</definedName>
    <definedName name="no_quote_reason_range2" localSheetId="7">#REF!</definedName>
    <definedName name="no_quote_reason_range2" localSheetId="0">#REF!</definedName>
    <definedName name="no_quote_reason_range2">#REF!</definedName>
    <definedName name="NonAutoBH" localSheetId="7">#REF!</definedName>
    <definedName name="NonAutoBH" localSheetId="0">#REF!</definedName>
    <definedName name="NonAutoBH">#REF!</definedName>
    <definedName name="NonautoBT" localSheetId="7">#REF!</definedName>
    <definedName name="NonautoBT" localSheetId="0">#REF!</definedName>
    <definedName name="NonautoBT">#REF!</definedName>
    <definedName name="NonautoMC" localSheetId="7">#REF!</definedName>
    <definedName name="NonautoMC" localSheetId="0">#REF!</definedName>
    <definedName name="NonautoMC">#REF!</definedName>
    <definedName name="NUM">NA()</definedName>
    <definedName name="N행">"$#REF!.$#REF!$#REF!:$#REF!$#REF!"</definedName>
    <definedName name="Other2WBH" localSheetId="7">#REF!</definedName>
    <definedName name="Other2WBH" localSheetId="0">#REF!</definedName>
    <definedName name="Other2WBH">#REF!</definedName>
    <definedName name="Other2WBT" localSheetId="7">#REF!</definedName>
    <definedName name="Other2WBT" localSheetId="0">#REF!</definedName>
    <definedName name="Other2WBT">#REF!</definedName>
    <definedName name="Other2WMC" localSheetId="7">#REF!</definedName>
    <definedName name="Other2WMC" localSheetId="0">#REF!</definedName>
    <definedName name="Other2WMC">#REF!</definedName>
    <definedName name="Other3WBH" localSheetId="7">#REF!</definedName>
    <definedName name="Other3WBH" localSheetId="0">#REF!</definedName>
    <definedName name="Other3WBH">#REF!</definedName>
    <definedName name="Other3WBT" localSheetId="7">#REF!</definedName>
    <definedName name="Other3WBT" localSheetId="0">#REF!</definedName>
    <definedName name="Other3WBT">#REF!</definedName>
    <definedName name="OtherCVBH" localSheetId="7">#REF!</definedName>
    <definedName name="OtherCVBH" localSheetId="0">#REF!</definedName>
    <definedName name="OtherCVBH">#REF!</definedName>
    <definedName name="OtherCVBT" localSheetId="6">#REF!</definedName>
    <definedName name="OtherCVBT" localSheetId="5">#REF!</definedName>
    <definedName name="OtherCVBT" localSheetId="0">#REF!</definedName>
    <definedName name="OtherCVBT">#REF!</definedName>
    <definedName name="OtherCVMC" localSheetId="6">#REF!</definedName>
    <definedName name="OtherCVMC" localSheetId="5">#REF!</definedName>
    <definedName name="OtherCVMC" localSheetId="0">#REF!</definedName>
    <definedName name="OtherCVMC">#REF!</definedName>
    <definedName name="OtherPVBH" localSheetId="6">#REF!</definedName>
    <definedName name="OtherPVBH" localSheetId="5">#REF!</definedName>
    <definedName name="OtherPVBH" localSheetId="0">#REF!</definedName>
    <definedName name="OtherPVBH">#REF!</definedName>
    <definedName name="OtherPVBT" localSheetId="6">#REF!</definedName>
    <definedName name="OtherPVBT" localSheetId="5">#REF!</definedName>
    <definedName name="OtherPVBT" localSheetId="0">#REF!</definedName>
    <definedName name="OtherPVBT">#REF!</definedName>
    <definedName name="OtherPVMC" localSheetId="6">#REF!</definedName>
    <definedName name="OtherPVMC" localSheetId="5">#REF!</definedName>
    <definedName name="OtherPVMC" localSheetId="0">#REF!</definedName>
    <definedName name="OtherPVMC">#REF!</definedName>
    <definedName name="OtherTractorBT" localSheetId="6">#REF!</definedName>
    <definedName name="OtherTractorBT" localSheetId="5">#REF!</definedName>
    <definedName name="OtherTractorBT" localSheetId="0">#REF!</definedName>
    <definedName name="OtherTractorBT">#REF!</definedName>
    <definedName name="OtherTractorMC" localSheetId="6">#REF!</definedName>
    <definedName name="OtherTractorMC" localSheetId="5">#REF!</definedName>
    <definedName name="OtherTractorMC" localSheetId="0">#REF!</definedName>
    <definedName name="OtherTractorMC">#REF!</definedName>
    <definedName name="OtherTractorsBH" localSheetId="6">#REF!</definedName>
    <definedName name="OtherTractorsBH" localSheetId="5">#REF!</definedName>
    <definedName name="OtherTractorsBH" localSheetId="0">#REF!</definedName>
    <definedName name="OtherTractorsBH">#REF!</definedName>
    <definedName name="Othr3WMC" localSheetId="6">#REF!</definedName>
    <definedName name="Othr3WMC" localSheetId="5">#REF!</definedName>
    <definedName name="Othr3WMC" localSheetId="0">#REF!</definedName>
    <definedName name="Othr3WMC">#REF!</definedName>
    <definedName name="O행">"$#REF!.$V$13:$AC$13"</definedName>
    <definedName name="P">NA()</definedName>
    <definedName name="PageNo" localSheetId="7">#REF!</definedName>
    <definedName name="PageNo" localSheetId="0">#REF!</definedName>
    <definedName name="PageNo">#REF!</definedName>
    <definedName name="POR1C1R59C22RTSQKS15C6LRTPPPPPT">NA()</definedName>
    <definedName name="POR439C124RTSQKS15C4LRTM0TB0TB0">"$#REF!.$#REF!$#REF!"</definedName>
    <definedName name="PPPPPPPP">NA()</definedName>
    <definedName name="prate">'[4]Rate table'!$A$7:$B$64</definedName>
    <definedName name="precoat" localSheetId="3" hidden="1">{#N/A,#N/A,FALSE,"Cash Flows";#N/A,#N/A,FALSE,"Fixed Assets";#N/A,#N/A,FALSE,"Balance Sheet";#N/A,#N/A,FALSE,"P &amp; L"}</definedName>
    <definedName name="precoat" localSheetId="7" hidden="1">{#N/A,#N/A,FALSE,"Cash Flows";#N/A,#N/A,FALSE,"Fixed Assets";#N/A,#N/A,FALSE,"Balance Sheet";#N/A,#N/A,FALSE,"P &amp; L"}</definedName>
    <definedName name="precoat" localSheetId="4" hidden="1">{#N/A,#N/A,FALSE,"Cash Flows";#N/A,#N/A,FALSE,"Fixed Assets";#N/A,#N/A,FALSE,"Balance Sheet";#N/A,#N/A,FALSE,"P &amp; L"}</definedName>
    <definedName name="precoat" localSheetId="5" hidden="1">{#N/A,#N/A,FALSE,"Cash Flows";#N/A,#N/A,FALSE,"Fixed Assets";#N/A,#N/A,FALSE,"Balance Sheet";#N/A,#N/A,FALSE,"P &amp; L"}</definedName>
    <definedName name="precoat" localSheetId="2" hidden="1">{#N/A,#N/A,FALSE,"Cash Flows";#N/A,#N/A,FALSE,"Fixed Assets";#N/A,#N/A,FALSE,"Balance Sheet";#N/A,#N/A,FALSE,"P &amp; L"}</definedName>
    <definedName name="precoat" localSheetId="0" hidden="1">{#N/A,#N/A,FALSE,"Cash Flows";#N/A,#N/A,FALSE,"Fixed Assets";#N/A,#N/A,FALSE,"Balance Sheet";#N/A,#N/A,FALSE,"P &amp; L"}</definedName>
    <definedName name="precoat" localSheetId="8" hidden="1">{#N/A,#N/A,FALSE,"Cash Flows";#N/A,#N/A,FALSE,"Fixed Assets";#N/A,#N/A,FALSE,"Balance Sheet";#N/A,#N/A,FALSE,"P &amp; L"}</definedName>
    <definedName name="precoat" hidden="1">{#N/A,#N/A,FALSE,"Cash Flows";#N/A,#N/A,FALSE,"Fixed Assets";#N/A,#N/A,FALSE,"Balance Sheet";#N/A,#N/A,FALSE,"P &amp; L"}</definedName>
    <definedName name="_xlnm.Print_Area" localSheetId="6">'19)QP'!$A$1:$K$63</definedName>
    <definedName name="_xlnm.Print_Area" localSheetId="3">'2)PFD'!$A$1:$E$214</definedName>
    <definedName name="_xlnm.Print_Area" localSheetId="7">'27)PSW'!$A$1:$K$59</definedName>
    <definedName name="_xlnm.Print_Area" localSheetId="4">'3)FMEA '!$A$1:$V$101</definedName>
    <definedName name="_xlnm.Print_Area" localSheetId="5">'4)P-C-P '!$A$1:$O$63</definedName>
    <definedName name="_xlnm.Print_Area" localSheetId="1">#REF!</definedName>
    <definedName name="_xlnm.Print_Area" localSheetId="2">#REF!</definedName>
    <definedName name="_xlnm.Print_Area" localSheetId="0">#REF!</definedName>
    <definedName name="_xlnm.Print_Area" localSheetId="9">SPC_252709140196!$A$1:$R$39</definedName>
    <definedName name="_xlnm.Print_Area">#REF!</definedName>
    <definedName name="Print_Area_MI">"$#REF!.$A$2:$V$287"</definedName>
    <definedName name="PRINT_TITLES_MI">"$#REF!.$A$1:$AMJ$1"</definedName>
    <definedName name="PSMPLQ12C4LRTOR339C224RTMTBTBTB">NA()</definedName>
    <definedName name="Pyear" localSheetId="7">#REF!</definedName>
    <definedName name="Pyear" localSheetId="0">#REF!</definedName>
    <definedName name="Pyear">#REF!</definedName>
    <definedName name="P행">"$#REF!.$V$15:$AC$15"</definedName>
    <definedName name="qewqeqwerq" localSheetId="3" hidden="1">{#N/A,#N/A,FALSE,"Cash Flows";#N/A,#N/A,FALSE,"Fixed Assets";#N/A,#N/A,FALSE,"Balance Sheet";#N/A,#N/A,FALSE,"P &amp; L"}</definedName>
    <definedName name="qewqeqwerq" localSheetId="7" hidden="1">{#N/A,#N/A,FALSE,"Cash Flows";#N/A,#N/A,FALSE,"Fixed Assets";#N/A,#N/A,FALSE,"Balance Sheet";#N/A,#N/A,FALSE,"P &amp; L"}</definedName>
    <definedName name="qewqeqwerq" localSheetId="4" hidden="1">{#N/A,#N/A,FALSE,"Cash Flows";#N/A,#N/A,FALSE,"Fixed Assets";#N/A,#N/A,FALSE,"Balance Sheet";#N/A,#N/A,FALSE,"P &amp; L"}</definedName>
    <definedName name="qewqeqwerq" localSheetId="5" hidden="1">{#N/A,#N/A,FALSE,"Cash Flows";#N/A,#N/A,FALSE,"Fixed Assets";#N/A,#N/A,FALSE,"Balance Sheet";#N/A,#N/A,FALSE,"P &amp; L"}</definedName>
    <definedName name="qewqeqwerq" localSheetId="2" hidden="1">{#N/A,#N/A,FALSE,"Cash Flows";#N/A,#N/A,FALSE,"Fixed Assets";#N/A,#N/A,FALSE,"Balance Sheet";#N/A,#N/A,FALSE,"P &amp; L"}</definedName>
    <definedName name="qewqeqwerq" localSheetId="0" hidden="1">{#N/A,#N/A,FALSE,"Cash Flows";#N/A,#N/A,FALSE,"Fixed Assets";#N/A,#N/A,FALSE,"Balance Sheet";#N/A,#N/A,FALSE,"P &amp; L"}</definedName>
    <definedName name="qewqeqwerq" localSheetId="8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Q">NA()</definedName>
    <definedName name="QUI">NA()</definedName>
    <definedName name="Q행">"$#REF!.$V$19:$AC$19"</definedName>
    <definedName name="RA">NA()</definedName>
    <definedName name="RAJESH" localSheetId="7">#REF!</definedName>
    <definedName name="RAJESH" localSheetId="0">#REF!</definedName>
    <definedName name="RAJESH">#REF!</definedName>
    <definedName name="record">NA()</definedName>
    <definedName name="rr" localSheetId="7">#REF!</definedName>
    <definedName name="rr" localSheetId="0">#REF!</definedName>
    <definedName name="rr">#REF!</definedName>
    <definedName name="RTCLCRCRCRCRCRCRDLRTDKDK">NA()</definedName>
    <definedName name="RTCLDLRTDK">NA()</definedName>
    <definedName name="RT울산시RTDKDK">NA()</definedName>
    <definedName name="R행">"$#REF!.$V$22:$AC$22"</definedName>
    <definedName name="S" localSheetId="3" hidden="1">{#N/A,#N/A,FALSE,"Cash Flows";#N/A,#N/A,FALSE,"Fixed Assets";#N/A,#N/A,FALSE,"Balance Sheet";#N/A,#N/A,FALSE,"P &amp; L"}</definedName>
    <definedName name="S" localSheetId="7" hidden="1">{#N/A,#N/A,FALSE,"Cash Flows";#N/A,#N/A,FALSE,"Fixed Assets";#N/A,#N/A,FALSE,"Balance Sheet";#N/A,#N/A,FALSE,"P &amp; L"}</definedName>
    <definedName name="S" localSheetId="4" hidden="1">{#N/A,#N/A,FALSE,"Cash Flows";#N/A,#N/A,FALSE,"Fixed Assets";#N/A,#N/A,FALSE,"Balance Sheet";#N/A,#N/A,FALSE,"P &amp; L"}</definedName>
    <definedName name="S" localSheetId="5" hidden="1">{#N/A,#N/A,FALSE,"Cash Flows";#N/A,#N/A,FALSE,"Fixed Assets";#N/A,#N/A,FALSE,"Balance Sheet";#N/A,#N/A,FALSE,"P &amp; L"}</definedName>
    <definedName name="S" localSheetId="2" hidden="1">{#N/A,#N/A,FALSE,"Cash Flows";#N/A,#N/A,FALSE,"Fixed Assets";#N/A,#N/A,FALSE,"Balance Sheet";#N/A,#N/A,FALSE,"P &amp; L"}</definedName>
    <definedName name="S" localSheetId="0" hidden="1">{#N/A,#N/A,FALSE,"Cash Flows";#N/A,#N/A,FALSE,"Fixed Assets";#N/A,#N/A,FALSE,"Balance Sheet";#N/A,#N/A,FALSE,"P &amp; L"}</definedName>
    <definedName name="S" localSheetId="8" hidden="1">{#N/A,#N/A,FALSE,"Cash Flows";#N/A,#N/A,FALSE,"Fixed Assets";#N/A,#N/A,FALSE,"Balance Sheet";#N/A,#N/A,FALSE,"P &amp; L"}</definedName>
    <definedName name="S" hidden="1">{#N/A,#N/A,FALSE,"Cash Flows";#N/A,#N/A,FALSE,"Fixed Assets";#N/A,#N/A,FALSE,"Balance Sheet";#N/A,#N/A,FALSE,"P &amp; L"}</definedName>
    <definedName name="Sample" localSheetId="7">#REF!</definedName>
    <definedName name="Sample" localSheetId="0">#REF!</definedName>
    <definedName name="Sample">#REF!</definedName>
    <definedName name="Segment" localSheetId="7">#REF!</definedName>
    <definedName name="Segment" localSheetId="0">#REF!</definedName>
    <definedName name="Segment">#REF!</definedName>
    <definedName name="SegmentN" localSheetId="7">#REF!</definedName>
    <definedName name="SegmentN" localSheetId="0">#REF!</definedName>
    <definedName name="SegmentN">#REF!</definedName>
    <definedName name="SKFK">NA()</definedName>
    <definedName name="SparesBH" localSheetId="7">#REF!</definedName>
    <definedName name="SparesBH" localSheetId="0">#REF!</definedName>
    <definedName name="SparesBH">#REF!</definedName>
    <definedName name="SparesBT" localSheetId="7">#REF!</definedName>
    <definedName name="SparesBT" localSheetId="0">#REF!</definedName>
    <definedName name="SparesBT">#REF!</definedName>
    <definedName name="SparesMC" localSheetId="7">#REF!</definedName>
    <definedName name="SparesMC" localSheetId="0">#REF!</definedName>
    <definedName name="SparesMC">#REF!</definedName>
    <definedName name="SPEED_D170">NA()</definedName>
    <definedName name="ss">NA()</definedName>
    <definedName name="Ssample" localSheetId="7">#REF!</definedName>
    <definedName name="Ssample" localSheetId="0">#REF!</definedName>
    <definedName name="Ssample">#REF!</definedName>
    <definedName name="Study" localSheetId="7">#REF!</definedName>
    <definedName name="Study" localSheetId="0">#REF!</definedName>
    <definedName name="Study">#REF!</definedName>
    <definedName name="sum" localSheetId="3" hidden="1">{#N/A,#N/A,FALSE,"Cash Flows";#N/A,#N/A,FALSE,"Fixed Assets";#N/A,#N/A,FALSE,"Balance Sheet";#N/A,#N/A,FALSE,"P &amp; L"}</definedName>
    <definedName name="sum" localSheetId="7" hidden="1">{#N/A,#N/A,FALSE,"Cash Flows";#N/A,#N/A,FALSE,"Fixed Assets";#N/A,#N/A,FALSE,"Balance Sheet";#N/A,#N/A,FALSE,"P &amp; L"}</definedName>
    <definedName name="sum" localSheetId="4" hidden="1">{#N/A,#N/A,FALSE,"Cash Flows";#N/A,#N/A,FALSE,"Fixed Assets";#N/A,#N/A,FALSE,"Balance Sheet";#N/A,#N/A,FALSE,"P &amp; L"}</definedName>
    <definedName name="sum" localSheetId="5" hidden="1">{#N/A,#N/A,FALSE,"Cash Flows";#N/A,#N/A,FALSE,"Fixed Assets";#N/A,#N/A,FALSE,"Balance Sheet";#N/A,#N/A,FALSE,"P &amp; L"}</definedName>
    <definedName name="sum" localSheetId="2" hidden="1">{#N/A,#N/A,FALSE,"Cash Flows";#N/A,#N/A,FALSE,"Fixed Assets";#N/A,#N/A,FALSE,"Balance Sheet";#N/A,#N/A,FALSE,"P &amp; L"}</definedName>
    <definedName name="sum" localSheetId="0" hidden="1">{#N/A,#N/A,FALSE,"Cash Flows";#N/A,#N/A,FALSE,"Fixed Assets";#N/A,#N/A,FALSE,"Balance Sheet";#N/A,#N/A,FALSE,"P &amp; L"}</definedName>
    <definedName name="sum" localSheetId="8" hidden="1">{#N/A,#N/A,FALSE,"Cash Flows";#N/A,#N/A,FALSE,"Fixed Assets";#N/A,#N/A,FALSE,"Balance Sheet";#N/A,#N/A,FALSE,"P &amp; L"}</definedName>
    <definedName name="sum" hidden="1">{#N/A,#N/A,FALSE,"Cash Flows";#N/A,#N/A,FALSE,"Fixed Assets";#N/A,#N/A,FALSE,"Balance Sheet";#N/A,#N/A,FALSE,"P &amp; L"}</definedName>
    <definedName name="summry" localSheetId="7">#REF!</definedName>
    <definedName name="summry" localSheetId="0">#REF!</definedName>
    <definedName name="summry">#REF!</definedName>
    <definedName name="SUMPROJSALES" localSheetId="7">#REF!</definedName>
    <definedName name="SUMPROJSALES" localSheetId="0">#REF!</definedName>
    <definedName name="SUMPROJSALES">#REF!</definedName>
    <definedName name="SysIntBH" localSheetId="7">#REF!</definedName>
    <definedName name="SysIntBH" localSheetId="0">#REF!</definedName>
    <definedName name="SysIntBH">#REF!</definedName>
    <definedName name="SysIntBT" localSheetId="7">#REF!</definedName>
    <definedName name="SysIntBT" localSheetId="0">#REF!</definedName>
    <definedName name="SysIntBT">#REF!</definedName>
    <definedName name="SysIntMC" localSheetId="6">#REF!</definedName>
    <definedName name="SysIntMC" localSheetId="5">#REF!</definedName>
    <definedName name="SysIntMC" localSheetId="0">#REF!</definedName>
    <definedName name="SysIntMC">#REF!</definedName>
    <definedName name="S행">"$#REF!.$V$24:$AC$24"</definedName>
    <definedName name="TableList" localSheetId="7">#REF!</definedName>
    <definedName name="TableList" localSheetId="0">#REF!</definedName>
    <definedName name="TableList">#REF!</definedName>
    <definedName name="Tax_Rate">'[5]TJC - Total'!$N$172</definedName>
    <definedName name="TelcoCVBH" localSheetId="7">#REF!</definedName>
    <definedName name="TelcoCVBH" localSheetId="0">#REF!</definedName>
    <definedName name="TelcoCVBH">#REF!</definedName>
    <definedName name="TelcoCVBT" localSheetId="7">#REF!</definedName>
    <definedName name="TelcoCVBT" localSheetId="0">#REF!</definedName>
    <definedName name="TelcoCVBT">#REF!</definedName>
    <definedName name="TelcoCVMC" localSheetId="7">#REF!</definedName>
    <definedName name="TelcoCVMC" localSheetId="0">#REF!</definedName>
    <definedName name="TelcoCVMC">#REF!</definedName>
    <definedName name="TelcoLCVBH" localSheetId="7">#REF!</definedName>
    <definedName name="TelcoLCVBH" localSheetId="0">#REF!</definedName>
    <definedName name="TelcoLCVBH">#REF!</definedName>
    <definedName name="TelcoLCVBT" localSheetId="7">#REF!</definedName>
    <definedName name="TelcoLCVBT" localSheetId="0">#REF!</definedName>
    <definedName name="TelcoLCVBT">#REF!</definedName>
    <definedName name="TelcoLCVMC" localSheetId="7">#REF!</definedName>
    <definedName name="TelcoLCVMC" localSheetId="0">#REF!</definedName>
    <definedName name="TelcoLCVMC">#REF!</definedName>
    <definedName name="TelcoMUVBH" localSheetId="6">#REF!</definedName>
    <definedName name="TelcoMUVBH" localSheetId="5">#REF!</definedName>
    <definedName name="TelcoMUVBH" localSheetId="0">#REF!</definedName>
    <definedName name="TelcoMUVBH">#REF!</definedName>
    <definedName name="TelcoMUVBT" localSheetId="6">#REF!</definedName>
    <definedName name="TelcoMUVBT" localSheetId="5">#REF!</definedName>
    <definedName name="TelcoMUVBT" localSheetId="0">#REF!</definedName>
    <definedName name="TelcoMUVBT">#REF!</definedName>
    <definedName name="TelcoMUVMC" localSheetId="6">#REF!</definedName>
    <definedName name="TelcoMUVMC" localSheetId="5">#REF!</definedName>
    <definedName name="TelcoMUVMC" localSheetId="0">#REF!</definedName>
    <definedName name="TelcoMUVMC">#REF!</definedName>
    <definedName name="TelcoPVBH" localSheetId="6">#REF!</definedName>
    <definedName name="TelcoPVBH" localSheetId="5">#REF!</definedName>
    <definedName name="TelcoPVBH" localSheetId="0">#REF!</definedName>
    <definedName name="TelcoPVBH">#REF!</definedName>
    <definedName name="TelcoPVBT" localSheetId="6">#REF!</definedName>
    <definedName name="TelcoPVBT" localSheetId="5">#REF!</definedName>
    <definedName name="TelcoPVBT" localSheetId="0">#REF!</definedName>
    <definedName name="TelcoPVBT">#REF!</definedName>
    <definedName name="TelcoPVMC" localSheetId="6">#REF!</definedName>
    <definedName name="TelcoPVMC" localSheetId="5">#REF!</definedName>
    <definedName name="TelcoPVMC" localSheetId="0">#REF!</definedName>
    <definedName name="TelcoPVMC">#REF!</definedName>
    <definedName name="Tier1DbyE" localSheetId="6">#REF!</definedName>
    <definedName name="Tier1DbyE" localSheetId="5">#REF!</definedName>
    <definedName name="Tier1DbyE" localSheetId="0">#REF!</definedName>
    <definedName name="Tier1DbyE">#REF!</definedName>
    <definedName name="Tier2DbyE" localSheetId="6">#REF!</definedName>
    <definedName name="Tier2DbyE" localSheetId="5">#REF!</definedName>
    <definedName name="Tier2DbyE" localSheetId="0">#REF!</definedName>
    <definedName name="Tier2DbyE">#REF!</definedName>
    <definedName name="ToolingBH" localSheetId="6">#REF!</definedName>
    <definedName name="ToolingBH" localSheetId="5">#REF!</definedName>
    <definedName name="ToolingBH" localSheetId="0">#REF!</definedName>
    <definedName name="ToolingBH">#REF!</definedName>
    <definedName name="ToolingBT" localSheetId="6">#REF!</definedName>
    <definedName name="ToolingBT" localSheetId="5">#REF!</definedName>
    <definedName name="ToolingBT" localSheetId="0">#REF!</definedName>
    <definedName name="ToolingBT">#REF!</definedName>
    <definedName name="ToolingMC" localSheetId="6">#REF!</definedName>
    <definedName name="ToolingMC" localSheetId="5">#REF!</definedName>
    <definedName name="ToolingMC" localSheetId="0">#REF!</definedName>
    <definedName name="ToolingMC">#REF!</definedName>
    <definedName name="ToyotaBH" localSheetId="6">#REF!</definedName>
    <definedName name="ToyotaBH" localSheetId="5">#REF!</definedName>
    <definedName name="ToyotaBH" localSheetId="0">#REF!</definedName>
    <definedName name="ToyotaBH">#REF!</definedName>
    <definedName name="ToyotaBT" localSheetId="6">#REF!</definedName>
    <definedName name="ToyotaBT" localSheetId="5">#REF!</definedName>
    <definedName name="ToyotaBT" localSheetId="0">#REF!</definedName>
    <definedName name="ToyotaBT">#REF!</definedName>
    <definedName name="ToyotaMC" localSheetId="6">#REF!</definedName>
    <definedName name="ToyotaMC" localSheetId="5">#REF!</definedName>
    <definedName name="ToyotaMC" localSheetId="0">#REF!</definedName>
    <definedName name="ToyotaMC">#REF!</definedName>
    <definedName name="TradingBH" localSheetId="6">#REF!</definedName>
    <definedName name="TradingBH" localSheetId="5">#REF!</definedName>
    <definedName name="TradingBH" localSheetId="0">#REF!</definedName>
    <definedName name="TradingBH">#REF!</definedName>
    <definedName name="TradingBT" localSheetId="6">#REF!</definedName>
    <definedName name="TradingBT" localSheetId="5">#REF!</definedName>
    <definedName name="TradingBT" localSheetId="0">#REF!</definedName>
    <definedName name="TradingBT">#REF!</definedName>
    <definedName name="TradingMC" localSheetId="6">#REF!</definedName>
    <definedName name="TradingMC" localSheetId="5">#REF!</definedName>
    <definedName name="TradingMC" localSheetId="0">#REF!</definedName>
    <definedName name="TradingMC">#REF!</definedName>
    <definedName name="T행">"$#REF!.$V$27:$AC$27"</definedName>
    <definedName name="UU">NA()</definedName>
    <definedName name="U행">"$#REF!.$V$30:$AC$30"</definedName>
    <definedName name="versions" localSheetId="6">[6]Criteria!$A$2:$A$9</definedName>
    <definedName name="versions" localSheetId="5">[6]Criteria!$A$2:$A$9</definedName>
    <definedName name="versions">[7]Criteria!$A$2:$A$9</definedName>
    <definedName name="VFGTR" localSheetId="3" hidden="1">{#N/A,#N/A,FALSE,"Cash Flows";#N/A,#N/A,FALSE,"Fixed Assets";#N/A,#N/A,FALSE,"Balance Sheet";#N/A,#N/A,FALSE,"P &amp; L"}</definedName>
    <definedName name="VFGTR" localSheetId="7" hidden="1">{#N/A,#N/A,FALSE,"Cash Flows";#N/A,#N/A,FALSE,"Fixed Assets";#N/A,#N/A,FALSE,"Balance Sheet";#N/A,#N/A,FALSE,"P &amp; L"}</definedName>
    <definedName name="VFGTR" localSheetId="4" hidden="1">{#N/A,#N/A,FALSE,"Cash Flows";#N/A,#N/A,FALSE,"Fixed Assets";#N/A,#N/A,FALSE,"Balance Sheet";#N/A,#N/A,FALSE,"P &amp; L"}</definedName>
    <definedName name="VFGTR" localSheetId="5" hidden="1">{#N/A,#N/A,FALSE,"Cash Flows";#N/A,#N/A,FALSE,"Fixed Assets";#N/A,#N/A,FALSE,"Balance Sheet";#N/A,#N/A,FALSE,"P &amp; L"}</definedName>
    <definedName name="VFGTR" localSheetId="2" hidden="1">{#N/A,#N/A,FALSE,"Cash Flows";#N/A,#N/A,FALSE,"Fixed Assets";#N/A,#N/A,FALSE,"Balance Sheet";#N/A,#N/A,FALSE,"P &amp; L"}</definedName>
    <definedName name="VFGTR" localSheetId="0" hidden="1">{#N/A,#N/A,FALSE,"Cash Flows";#N/A,#N/A,FALSE,"Fixed Assets";#N/A,#N/A,FALSE,"Balance Sheet";#N/A,#N/A,FALSE,"P &amp; L"}</definedName>
    <definedName name="VFGTR" localSheetId="8" hidden="1">{#N/A,#N/A,FALSE,"Cash Flows";#N/A,#N/A,FALSE,"Fixed Assets";#N/A,#N/A,FALSE,"Balance Sheet";#N/A,#N/A,FALSE,"P &amp; L"}</definedName>
    <definedName name="VFGTR" hidden="1">{#N/A,#N/A,FALSE,"Cash Flows";#N/A,#N/A,FALSE,"Fixed Assets";#N/A,#N/A,FALSE,"Balance Sheet";#N/A,#N/A,FALSE,"P &amp; L"}</definedName>
    <definedName name="vga" localSheetId="3" hidden="1">{#N/A,#N/A,TRUE,"Summary";#N/A,#N/A,TRUE,"Balance Sheet";#N/A,#N/A,TRUE,"P &amp; L";#N/A,#N/A,TRUE,"Fixed Assets";#N/A,#N/A,TRUE,"Cash Flows"}</definedName>
    <definedName name="vga" localSheetId="7" hidden="1">{#N/A,#N/A,TRUE,"Summary";#N/A,#N/A,TRUE,"Balance Sheet";#N/A,#N/A,TRUE,"P &amp; L";#N/A,#N/A,TRUE,"Fixed Assets";#N/A,#N/A,TRUE,"Cash Flows"}</definedName>
    <definedName name="vga" localSheetId="4" hidden="1">{#N/A,#N/A,TRUE,"Summary";#N/A,#N/A,TRUE,"Balance Sheet";#N/A,#N/A,TRUE,"P &amp; L";#N/A,#N/A,TRUE,"Fixed Assets";#N/A,#N/A,TRUE,"Cash Flows"}</definedName>
    <definedName name="vga" localSheetId="5" hidden="1">{#N/A,#N/A,TRUE,"Summary";#N/A,#N/A,TRUE,"Balance Sheet";#N/A,#N/A,TRUE,"P &amp; L";#N/A,#N/A,TRUE,"Fixed Assets";#N/A,#N/A,TRUE,"Cash Flows"}</definedName>
    <definedName name="vga" localSheetId="2" hidden="1">{#N/A,#N/A,TRUE,"Summary";#N/A,#N/A,TRUE,"Balance Sheet";#N/A,#N/A,TRUE,"P &amp; L";#N/A,#N/A,TRUE,"Fixed Assets";#N/A,#N/A,TRUE,"Cash Flows"}</definedName>
    <definedName name="vga" localSheetId="0" hidden="1">{#N/A,#N/A,TRUE,"Summary";#N/A,#N/A,TRUE,"Balance Sheet";#N/A,#N/A,TRUE,"P &amp; L";#N/A,#N/A,TRUE,"Fixed Assets";#N/A,#N/A,TRUE,"Cash Flows"}</definedName>
    <definedName name="vga" localSheetId="8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행">"$#REF!.$V$31:$AC$31"</definedName>
    <definedName name="W">NA()</definedName>
    <definedName name="WCa">"$#REF!.$#REF!$#REF!:$#REF!$#REF!"</definedName>
    <definedName name="Width">4</definedName>
    <definedName name="wrn.Brief." localSheetId="3" hidden="1">{#N/A,#N/A,TRUE,"Summary";#N/A,#N/A,TRUE,"Balance Sheet";#N/A,#N/A,TRUE,"P &amp; L";#N/A,#N/A,TRUE,"Fixed Assets";#N/A,#N/A,TRUE,"Cash Flows"}</definedName>
    <definedName name="wrn.Brief." localSheetId="7" hidden="1">{#N/A,#N/A,TRUE,"Summary";#N/A,#N/A,TRUE,"Balance Sheet";#N/A,#N/A,TRUE,"P &amp; L";#N/A,#N/A,TRUE,"Fixed Assets";#N/A,#N/A,TRUE,"Cash Flows"}</definedName>
    <definedName name="wrn.Brief." localSheetId="4" hidden="1">{#N/A,#N/A,TRUE,"Summary";#N/A,#N/A,TRUE,"Balance Sheet";#N/A,#N/A,TRUE,"P &amp; L";#N/A,#N/A,TRUE,"Fixed Assets";#N/A,#N/A,TRUE,"Cash Flows"}</definedName>
    <definedName name="wrn.Brief." localSheetId="5" hidden="1">{#N/A,#N/A,TRUE,"Summary";#N/A,#N/A,TRUE,"Balance Sheet";#N/A,#N/A,TRUE,"P &amp; L";#N/A,#N/A,TRUE,"Fixed Assets";#N/A,#N/A,TRUE,"Cash Flows"}</definedName>
    <definedName name="wrn.Brief." localSheetId="2" hidden="1">{#N/A,#N/A,TRUE,"Summary";#N/A,#N/A,TRUE,"Balance Sheet";#N/A,#N/A,TRUE,"P &amp; L";#N/A,#N/A,TRUE,"Fixed Assets";#N/A,#N/A,TRUE,"Cash Flows"}</definedName>
    <definedName name="wrn.Brief." localSheetId="0" hidden="1">{#N/A,#N/A,TRUE,"Summary";#N/A,#N/A,TRUE,"Balance Sheet";#N/A,#N/A,TRUE,"P &amp; L";#N/A,#N/A,TRUE,"Fixed Assets";#N/A,#N/A,TRUE,"Cash Flows"}</definedName>
    <definedName name="wrn.Brief." localSheetId="8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ela" localSheetId="3" hidden="1">{#N/A,#N/A,FALSE,"Cash Flows";#N/A,#N/A,FALSE,"Fixed Assets";#N/A,#N/A,FALSE,"Balance Sheet";#N/A,#N/A,FALSE,"P &amp; L"}</definedName>
    <definedName name="wrn.ela" localSheetId="7" hidden="1">{#N/A,#N/A,FALSE,"Cash Flows";#N/A,#N/A,FALSE,"Fixed Assets";#N/A,#N/A,FALSE,"Balance Sheet";#N/A,#N/A,FALSE,"P &amp; L"}</definedName>
    <definedName name="wrn.ela" localSheetId="4" hidden="1">{#N/A,#N/A,FALSE,"Cash Flows";#N/A,#N/A,FALSE,"Fixed Assets";#N/A,#N/A,FALSE,"Balance Sheet";#N/A,#N/A,FALSE,"P &amp; L"}</definedName>
    <definedName name="wrn.ela" localSheetId="5" hidden="1">{#N/A,#N/A,FALSE,"Cash Flows";#N/A,#N/A,FALSE,"Fixed Assets";#N/A,#N/A,FALSE,"Balance Sheet";#N/A,#N/A,FALSE,"P &amp; L"}</definedName>
    <definedName name="wrn.ela" localSheetId="2" hidden="1">{#N/A,#N/A,FALSE,"Cash Flows";#N/A,#N/A,FALSE,"Fixed Assets";#N/A,#N/A,FALSE,"Balance Sheet";#N/A,#N/A,FALSE,"P &amp; L"}</definedName>
    <definedName name="wrn.ela" localSheetId="0" hidden="1">{#N/A,#N/A,FALSE,"Cash Flows";#N/A,#N/A,FALSE,"Fixed Assets";#N/A,#N/A,FALSE,"Balance Sheet";#N/A,#N/A,FALSE,"P &amp; L"}</definedName>
    <definedName name="wrn.ela" localSheetId="8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aborate." localSheetId="7" hidden="1">{#N/A,#N/A,FALSE,"Cash Flows";#N/A,#N/A,FALSE,"Fixed Assets";#N/A,#N/A,FALSE,"Balance Sheet";#N/A,#N/A,FALSE,"P &amp; L"}</definedName>
    <definedName name="wrn.Elaborate." localSheetId="4" hidden="1">{#N/A,#N/A,FALSE,"Cash Flows";#N/A,#N/A,FALSE,"Fixed Assets";#N/A,#N/A,FALSE,"Balance Sheet";#N/A,#N/A,FALSE,"P &amp; L"}</definedName>
    <definedName name="wrn.Elaborate." localSheetId="5" hidden="1">{#N/A,#N/A,FALSE,"Cash Flows";#N/A,#N/A,FALSE,"Fixed Assets";#N/A,#N/A,FALSE,"Balance Sheet";#N/A,#N/A,FALSE,"P &amp; L"}</definedName>
    <definedName name="wrn.Elaborate." localSheetId="2" hidden="1">{#N/A,#N/A,FALSE,"Cash Flows";#N/A,#N/A,FALSE,"Fixed Assets";#N/A,#N/A,FALSE,"Balance Sheet";#N/A,#N/A,FALSE,"P &amp; L"}</definedName>
    <definedName name="wrn.Elaborate." localSheetId="0" hidden="1">{#N/A,#N/A,FALSE,"Cash Flows";#N/A,#N/A,FALSE,"Fixed Assets";#N/A,#N/A,FALSE,"Balance Sheet";#N/A,#N/A,FALSE,"P &amp; L"}</definedName>
    <definedName name="wrn.Elaborate." localSheetId="8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1.brief" localSheetId="3" hidden="1">{#N/A,#N/A,TRUE,"Summary";#N/A,#N/A,TRUE,"Balance Sheet";#N/A,#N/A,TRUE,"P &amp; L";#N/A,#N/A,TRUE,"Fixed Assets";#N/A,#N/A,TRUE,"Cash Flows"}</definedName>
    <definedName name="wrn1.brief" localSheetId="7" hidden="1">{#N/A,#N/A,TRUE,"Summary";#N/A,#N/A,TRUE,"Balance Sheet";#N/A,#N/A,TRUE,"P &amp; L";#N/A,#N/A,TRUE,"Fixed Assets";#N/A,#N/A,TRUE,"Cash Flows"}</definedName>
    <definedName name="wrn1.brief" localSheetId="4" hidden="1">{#N/A,#N/A,TRUE,"Summary";#N/A,#N/A,TRUE,"Balance Sheet";#N/A,#N/A,TRUE,"P &amp; L";#N/A,#N/A,TRUE,"Fixed Assets";#N/A,#N/A,TRUE,"Cash Flows"}</definedName>
    <definedName name="wrn1.brief" localSheetId="5" hidden="1">{#N/A,#N/A,TRUE,"Summary";#N/A,#N/A,TRUE,"Balance Sheet";#N/A,#N/A,TRUE,"P &amp; L";#N/A,#N/A,TRUE,"Fixed Assets";#N/A,#N/A,TRUE,"Cash Flows"}</definedName>
    <definedName name="wrn1.brief" localSheetId="2" hidden="1">{#N/A,#N/A,TRUE,"Summary";#N/A,#N/A,TRUE,"Balance Sheet";#N/A,#N/A,TRUE,"P &amp; L";#N/A,#N/A,TRUE,"Fixed Assets";#N/A,#N/A,TRUE,"Cash Flows"}</definedName>
    <definedName name="wrn1.brief" localSheetId="0" hidden="1">{#N/A,#N/A,TRUE,"Summary";#N/A,#N/A,TRUE,"Balance Sheet";#N/A,#N/A,TRUE,"P &amp; L";#N/A,#N/A,TRUE,"Fixed Assets";#N/A,#N/A,TRUE,"Cash Flows"}</definedName>
    <definedName name="wrn1.brief" localSheetId="8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elaborate" localSheetId="3" hidden="1">{#N/A,#N/A,FALSE,"Cash Flows";#N/A,#N/A,FALSE,"Fixed Assets";#N/A,#N/A,FALSE,"Balance Sheet";#N/A,#N/A,FALSE,"P &amp; L"}</definedName>
    <definedName name="wrn1.elaborate" localSheetId="7" hidden="1">{#N/A,#N/A,FALSE,"Cash Flows";#N/A,#N/A,FALSE,"Fixed Assets";#N/A,#N/A,FALSE,"Balance Sheet";#N/A,#N/A,FALSE,"P &amp; L"}</definedName>
    <definedName name="wrn1.elaborate" localSheetId="4" hidden="1">{#N/A,#N/A,FALSE,"Cash Flows";#N/A,#N/A,FALSE,"Fixed Assets";#N/A,#N/A,FALSE,"Balance Sheet";#N/A,#N/A,FALSE,"P &amp; L"}</definedName>
    <definedName name="wrn1.elaborate" localSheetId="5" hidden="1">{#N/A,#N/A,FALSE,"Cash Flows";#N/A,#N/A,FALSE,"Fixed Assets";#N/A,#N/A,FALSE,"Balance Sheet";#N/A,#N/A,FALSE,"P &amp; L"}</definedName>
    <definedName name="wrn1.elaborate" localSheetId="2" hidden="1">{#N/A,#N/A,FALSE,"Cash Flows";#N/A,#N/A,FALSE,"Fixed Assets";#N/A,#N/A,FALSE,"Balance Sheet";#N/A,#N/A,FALSE,"P &amp; L"}</definedName>
    <definedName name="wrn1.elaborate" localSheetId="0" hidden="1">{#N/A,#N/A,FALSE,"Cash Flows";#N/A,#N/A,FALSE,"Fixed Assets";#N/A,#N/A,FALSE,"Balance Sheet";#N/A,#N/A,FALSE,"P &amp; L"}</definedName>
    <definedName name="wrn1.elaborate" localSheetId="8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0.elaborate" localSheetId="3" hidden="1">{#N/A,#N/A,FALSE,"Cash Flows";#N/A,#N/A,FALSE,"Fixed Assets";#N/A,#N/A,FALSE,"Balance Sheet";#N/A,#N/A,FALSE,"P &amp; L"}</definedName>
    <definedName name="wrn10.elaborate" localSheetId="7" hidden="1">{#N/A,#N/A,FALSE,"Cash Flows";#N/A,#N/A,FALSE,"Fixed Assets";#N/A,#N/A,FALSE,"Balance Sheet";#N/A,#N/A,FALSE,"P &amp; L"}</definedName>
    <definedName name="wrn10.elaborate" localSheetId="4" hidden="1">{#N/A,#N/A,FALSE,"Cash Flows";#N/A,#N/A,FALSE,"Fixed Assets";#N/A,#N/A,FALSE,"Balance Sheet";#N/A,#N/A,FALSE,"P &amp; L"}</definedName>
    <definedName name="wrn10.elaborate" localSheetId="5" hidden="1">{#N/A,#N/A,FALSE,"Cash Flows";#N/A,#N/A,FALSE,"Fixed Assets";#N/A,#N/A,FALSE,"Balance Sheet";#N/A,#N/A,FALSE,"P &amp; L"}</definedName>
    <definedName name="wrn10.elaborate" localSheetId="2" hidden="1">{#N/A,#N/A,FALSE,"Cash Flows";#N/A,#N/A,FALSE,"Fixed Assets";#N/A,#N/A,FALSE,"Balance Sheet";#N/A,#N/A,FALSE,"P &amp; L"}</definedName>
    <definedName name="wrn10.elaborate" localSheetId="0" hidden="1">{#N/A,#N/A,FALSE,"Cash Flows";#N/A,#N/A,FALSE,"Fixed Assets";#N/A,#N/A,FALSE,"Balance Sheet";#N/A,#N/A,FALSE,"P &amp; L"}</definedName>
    <definedName name="wrn10.elaborate" localSheetId="8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3" hidden="1">{#N/A,#N/A,TRUE,"Summary";#N/A,#N/A,TRUE,"Balance Sheet";#N/A,#N/A,TRUE,"P &amp; L";#N/A,#N/A,TRUE,"Fixed Assets";#N/A,#N/A,TRUE,"Cash Flows"}</definedName>
    <definedName name="wrn2.brief" localSheetId="7" hidden="1">{#N/A,#N/A,TRUE,"Summary";#N/A,#N/A,TRUE,"Balance Sheet";#N/A,#N/A,TRUE,"P &amp; L";#N/A,#N/A,TRUE,"Fixed Assets";#N/A,#N/A,TRUE,"Cash Flows"}</definedName>
    <definedName name="wrn2.brief" localSheetId="4" hidden="1">{#N/A,#N/A,TRUE,"Summary";#N/A,#N/A,TRUE,"Balance Sheet";#N/A,#N/A,TRUE,"P &amp; L";#N/A,#N/A,TRUE,"Fixed Assets";#N/A,#N/A,TRUE,"Cash Flows"}</definedName>
    <definedName name="wrn2.brief" localSheetId="5" hidden="1">{#N/A,#N/A,TRUE,"Summary";#N/A,#N/A,TRUE,"Balance Sheet";#N/A,#N/A,TRUE,"P &amp; L";#N/A,#N/A,TRUE,"Fixed Assets";#N/A,#N/A,TRUE,"Cash Flows"}</definedName>
    <definedName name="wrn2.brief" localSheetId="2" hidden="1">{#N/A,#N/A,TRUE,"Summary";#N/A,#N/A,TRUE,"Balance Sheet";#N/A,#N/A,TRUE,"P &amp; L";#N/A,#N/A,TRUE,"Fixed Assets";#N/A,#N/A,TRUE,"Cash Flows"}</definedName>
    <definedName name="wrn2.brief" localSheetId="0" hidden="1">{#N/A,#N/A,TRUE,"Summary";#N/A,#N/A,TRUE,"Balance Sheet";#N/A,#N/A,TRUE,"P &amp; L";#N/A,#N/A,TRUE,"Fixed Assets";#N/A,#N/A,TRUE,"Cash Flows"}</definedName>
    <definedName name="wrn2.brief" localSheetId="8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3.elaborate" localSheetId="3" hidden="1">{#N/A,#N/A,FALSE,"Cash Flows";#N/A,#N/A,FALSE,"Fixed Assets";#N/A,#N/A,FALSE,"Balance Sheet";#N/A,#N/A,FALSE,"P &amp; L"}</definedName>
    <definedName name="wrn3.elaborate" localSheetId="7" hidden="1">{#N/A,#N/A,FALSE,"Cash Flows";#N/A,#N/A,FALSE,"Fixed Assets";#N/A,#N/A,FALSE,"Balance Sheet";#N/A,#N/A,FALSE,"P &amp; L"}</definedName>
    <definedName name="wrn3.elaborate" localSheetId="4" hidden="1">{#N/A,#N/A,FALSE,"Cash Flows";#N/A,#N/A,FALSE,"Fixed Assets";#N/A,#N/A,FALSE,"Balance Sheet";#N/A,#N/A,FALSE,"P &amp; L"}</definedName>
    <definedName name="wrn3.elaborate" localSheetId="5" hidden="1">{#N/A,#N/A,FALSE,"Cash Flows";#N/A,#N/A,FALSE,"Fixed Assets";#N/A,#N/A,FALSE,"Balance Sheet";#N/A,#N/A,FALSE,"P &amp; L"}</definedName>
    <definedName name="wrn3.elaborate" localSheetId="2" hidden="1">{#N/A,#N/A,FALSE,"Cash Flows";#N/A,#N/A,FALSE,"Fixed Assets";#N/A,#N/A,FALSE,"Balance Sheet";#N/A,#N/A,FALSE,"P &amp; L"}</definedName>
    <definedName name="wrn3.elaborate" localSheetId="0" hidden="1">{#N/A,#N/A,FALSE,"Cash Flows";#N/A,#N/A,FALSE,"Fixed Assets";#N/A,#N/A,FALSE,"Balance Sheet";#N/A,#N/A,FALSE,"P &amp; L"}</definedName>
    <definedName name="wrn3.elaborate" localSheetId="8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3" hidden="1">{#N/A,#N/A,TRUE,"Summary";#N/A,#N/A,TRUE,"Balance Sheet";#N/A,#N/A,TRUE,"P &amp; L";#N/A,#N/A,TRUE,"Fixed Assets";#N/A,#N/A,TRUE,"Cash Flows"}</definedName>
    <definedName name="wrn5.brief" localSheetId="7" hidden="1">{#N/A,#N/A,TRUE,"Summary";#N/A,#N/A,TRUE,"Balance Sheet";#N/A,#N/A,TRUE,"P &amp; L";#N/A,#N/A,TRUE,"Fixed Assets";#N/A,#N/A,TRUE,"Cash Flows"}</definedName>
    <definedName name="wrn5.brief" localSheetId="4" hidden="1">{#N/A,#N/A,TRUE,"Summary";#N/A,#N/A,TRUE,"Balance Sheet";#N/A,#N/A,TRUE,"P &amp; L";#N/A,#N/A,TRUE,"Fixed Assets";#N/A,#N/A,TRUE,"Cash Flows"}</definedName>
    <definedName name="wrn5.brief" localSheetId="5" hidden="1">{#N/A,#N/A,TRUE,"Summary";#N/A,#N/A,TRUE,"Balance Sheet";#N/A,#N/A,TRUE,"P &amp; L";#N/A,#N/A,TRUE,"Fixed Assets";#N/A,#N/A,TRUE,"Cash Flows"}</definedName>
    <definedName name="wrn5.brief" localSheetId="2" hidden="1">{#N/A,#N/A,TRUE,"Summary";#N/A,#N/A,TRUE,"Balance Sheet";#N/A,#N/A,TRUE,"P &amp; L";#N/A,#N/A,TRUE,"Fixed Assets";#N/A,#N/A,TRUE,"Cash Flows"}</definedName>
    <definedName name="wrn5.brief" localSheetId="0" hidden="1">{#N/A,#N/A,TRUE,"Summary";#N/A,#N/A,TRUE,"Balance Sheet";#N/A,#N/A,TRUE,"P &amp; L";#N/A,#N/A,TRUE,"Fixed Assets";#N/A,#N/A,TRUE,"Cash Flows"}</definedName>
    <definedName name="wrn5.brief" localSheetId="8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3" hidden="1">{#N/A,#N/A,FALSE,"Cash Flows";#N/A,#N/A,FALSE,"Fixed Assets";#N/A,#N/A,FALSE,"Balance Sheet";#N/A,#N/A,FALSE,"P &amp; L"}</definedName>
    <definedName name="wrn6.elaborate" localSheetId="7" hidden="1">{#N/A,#N/A,FALSE,"Cash Flows";#N/A,#N/A,FALSE,"Fixed Assets";#N/A,#N/A,FALSE,"Balance Sheet";#N/A,#N/A,FALSE,"P &amp; L"}</definedName>
    <definedName name="wrn6.elaborate" localSheetId="4" hidden="1">{#N/A,#N/A,FALSE,"Cash Flows";#N/A,#N/A,FALSE,"Fixed Assets";#N/A,#N/A,FALSE,"Balance Sheet";#N/A,#N/A,FALSE,"P &amp; L"}</definedName>
    <definedName name="wrn6.elaborate" localSheetId="5" hidden="1">{#N/A,#N/A,FALSE,"Cash Flows";#N/A,#N/A,FALSE,"Fixed Assets";#N/A,#N/A,FALSE,"Balance Sheet";#N/A,#N/A,FALSE,"P &amp; L"}</definedName>
    <definedName name="wrn6.elaborate" localSheetId="2" hidden="1">{#N/A,#N/A,FALSE,"Cash Flows";#N/A,#N/A,FALSE,"Fixed Assets";#N/A,#N/A,FALSE,"Balance Sheet";#N/A,#N/A,FALSE,"P &amp; L"}</definedName>
    <definedName name="wrn6.elaborate" localSheetId="0" hidden="1">{#N/A,#N/A,FALSE,"Cash Flows";#N/A,#N/A,FALSE,"Fixed Assets";#N/A,#N/A,FALSE,"Balance Sheet";#N/A,#N/A,FALSE,"P &amp; L"}</definedName>
    <definedName name="wrn6.elaborate" localSheetId="8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3" hidden="1">{#N/A,#N/A,TRUE,"Summary";#N/A,#N/A,TRUE,"Balance Sheet";#N/A,#N/A,TRUE,"P &amp; L";#N/A,#N/A,TRUE,"Fixed Assets";#N/A,#N/A,TRUE,"Cash Flows"}</definedName>
    <definedName name="wrn7.brief" localSheetId="7" hidden="1">{#N/A,#N/A,TRUE,"Summary";#N/A,#N/A,TRUE,"Balance Sheet";#N/A,#N/A,TRUE,"P &amp; L";#N/A,#N/A,TRUE,"Fixed Assets";#N/A,#N/A,TRUE,"Cash Flows"}</definedName>
    <definedName name="wrn7.brief" localSheetId="4" hidden="1">{#N/A,#N/A,TRUE,"Summary";#N/A,#N/A,TRUE,"Balance Sheet";#N/A,#N/A,TRUE,"P &amp; L";#N/A,#N/A,TRUE,"Fixed Assets";#N/A,#N/A,TRUE,"Cash Flows"}</definedName>
    <definedName name="wrn7.brief" localSheetId="5" hidden="1">{#N/A,#N/A,TRUE,"Summary";#N/A,#N/A,TRUE,"Balance Sheet";#N/A,#N/A,TRUE,"P &amp; L";#N/A,#N/A,TRUE,"Fixed Assets";#N/A,#N/A,TRUE,"Cash Flows"}</definedName>
    <definedName name="wrn7.brief" localSheetId="2" hidden="1">{#N/A,#N/A,TRUE,"Summary";#N/A,#N/A,TRUE,"Balance Sheet";#N/A,#N/A,TRUE,"P &amp; L";#N/A,#N/A,TRUE,"Fixed Assets";#N/A,#N/A,TRUE,"Cash Flows"}</definedName>
    <definedName name="wrn7.brief" localSheetId="0" hidden="1">{#N/A,#N/A,TRUE,"Summary";#N/A,#N/A,TRUE,"Balance Sheet";#N/A,#N/A,TRUE,"P &amp; L";#N/A,#N/A,TRUE,"Fixed Assets";#N/A,#N/A,TRUE,"Cash Flows"}</definedName>
    <definedName name="wrn7.brief" localSheetId="8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3" hidden="1">{#N/A,#N/A,FALSE,"Cash Flows";#N/A,#N/A,FALSE,"Fixed Assets";#N/A,#N/A,FALSE,"Balance Sheet";#N/A,#N/A,FALSE,"P &amp; L"}</definedName>
    <definedName name="wrn8.elaborate" localSheetId="7" hidden="1">{#N/A,#N/A,FALSE,"Cash Flows";#N/A,#N/A,FALSE,"Fixed Assets";#N/A,#N/A,FALSE,"Balance Sheet";#N/A,#N/A,FALSE,"P &amp; L"}</definedName>
    <definedName name="wrn8.elaborate" localSheetId="4" hidden="1">{#N/A,#N/A,FALSE,"Cash Flows";#N/A,#N/A,FALSE,"Fixed Assets";#N/A,#N/A,FALSE,"Balance Sheet";#N/A,#N/A,FALSE,"P &amp; L"}</definedName>
    <definedName name="wrn8.elaborate" localSheetId="5" hidden="1">{#N/A,#N/A,FALSE,"Cash Flows";#N/A,#N/A,FALSE,"Fixed Assets";#N/A,#N/A,FALSE,"Balance Sheet";#N/A,#N/A,FALSE,"P &amp; L"}</definedName>
    <definedName name="wrn8.elaborate" localSheetId="2" hidden="1">{#N/A,#N/A,FALSE,"Cash Flows";#N/A,#N/A,FALSE,"Fixed Assets";#N/A,#N/A,FALSE,"Balance Sheet";#N/A,#N/A,FALSE,"P &amp; L"}</definedName>
    <definedName name="wrn8.elaborate" localSheetId="0" hidden="1">{#N/A,#N/A,FALSE,"Cash Flows";#N/A,#N/A,FALSE,"Fixed Assets";#N/A,#N/A,FALSE,"Balance Sheet";#N/A,#N/A,FALSE,"P &amp; L"}</definedName>
    <definedName name="wrn8.elaborate" localSheetId="8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3" hidden="1">{#N/A,#N/A,TRUE,"Summary";#N/A,#N/A,TRUE,"Balance Sheet";#N/A,#N/A,TRUE,"P &amp; L";#N/A,#N/A,TRUE,"Fixed Assets";#N/A,#N/A,TRUE,"Cash Flows"}</definedName>
    <definedName name="wrn9.brief" localSheetId="7" hidden="1">{#N/A,#N/A,TRUE,"Summary";#N/A,#N/A,TRUE,"Balance Sheet";#N/A,#N/A,TRUE,"P &amp; L";#N/A,#N/A,TRUE,"Fixed Assets";#N/A,#N/A,TRUE,"Cash Flows"}</definedName>
    <definedName name="wrn9.brief" localSheetId="4" hidden="1">{#N/A,#N/A,TRUE,"Summary";#N/A,#N/A,TRUE,"Balance Sheet";#N/A,#N/A,TRUE,"P &amp; L";#N/A,#N/A,TRUE,"Fixed Assets";#N/A,#N/A,TRUE,"Cash Flows"}</definedName>
    <definedName name="wrn9.brief" localSheetId="5" hidden="1">{#N/A,#N/A,TRUE,"Summary";#N/A,#N/A,TRUE,"Balance Sheet";#N/A,#N/A,TRUE,"P &amp; L";#N/A,#N/A,TRUE,"Fixed Assets";#N/A,#N/A,TRUE,"Cash Flows"}</definedName>
    <definedName name="wrn9.brief" localSheetId="2" hidden="1">{#N/A,#N/A,TRUE,"Summary";#N/A,#N/A,TRUE,"Balance Sheet";#N/A,#N/A,TRUE,"P &amp; L";#N/A,#N/A,TRUE,"Fixed Assets";#N/A,#N/A,TRUE,"Cash Flows"}</definedName>
    <definedName name="wrn9.brief" localSheetId="0" hidden="1">{#N/A,#N/A,TRUE,"Summary";#N/A,#N/A,TRUE,"Balance Sheet";#N/A,#N/A,TRUE,"P &amp; L";#N/A,#N/A,TRUE,"Fixed Assets";#N/A,#N/A,TRUE,"Cash Flows"}</definedName>
    <definedName name="wrn9.brief" localSheetId="8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W">NA()</definedName>
    <definedName name="W행">"$#REF!.$#REF!$#REF!:$#REF!$#REF!"</definedName>
    <definedName name="xcsax" localSheetId="3" hidden="1">{#N/A,#N/A,FALSE,"Cash Flows";#N/A,#N/A,FALSE,"Fixed Assets";#N/A,#N/A,FALSE,"Balance Sheet";#N/A,#N/A,FALSE,"P &amp; L"}</definedName>
    <definedName name="xcsax" localSheetId="7" hidden="1">{#N/A,#N/A,FALSE,"Cash Flows";#N/A,#N/A,FALSE,"Fixed Assets";#N/A,#N/A,FALSE,"Balance Sheet";#N/A,#N/A,FALSE,"P &amp; L"}</definedName>
    <definedName name="xcsax" localSheetId="4" hidden="1">{#N/A,#N/A,FALSE,"Cash Flows";#N/A,#N/A,FALSE,"Fixed Assets";#N/A,#N/A,FALSE,"Balance Sheet";#N/A,#N/A,FALSE,"P &amp; L"}</definedName>
    <definedName name="xcsax" localSheetId="5" hidden="1">{#N/A,#N/A,FALSE,"Cash Flows";#N/A,#N/A,FALSE,"Fixed Assets";#N/A,#N/A,FALSE,"Balance Sheet";#N/A,#N/A,FALSE,"P &amp; L"}</definedName>
    <definedName name="xcsax" localSheetId="2" hidden="1">{#N/A,#N/A,FALSE,"Cash Flows";#N/A,#N/A,FALSE,"Fixed Assets";#N/A,#N/A,FALSE,"Balance Sheet";#N/A,#N/A,FALSE,"P &amp; L"}</definedName>
    <definedName name="xcsax" localSheetId="0" hidden="1">{#N/A,#N/A,FALSE,"Cash Flows";#N/A,#N/A,FALSE,"Fixed Assets";#N/A,#N/A,FALSE,"Balance Sheet";#N/A,#N/A,FALSE,"P &amp; L"}</definedName>
    <definedName name="xcsax" localSheetId="8" hidden="1">{#N/A,#N/A,FALSE,"Cash Flows";#N/A,#N/A,FALSE,"Fixed Assets";#N/A,#N/A,FALSE,"Balance Sheet";#N/A,#N/A,FALSE,"P &amp; L"}</definedName>
    <definedName name="xcsax" hidden="1">{#N/A,#N/A,FALSE,"Cash Flows";#N/A,#N/A,FALSE,"Fixed Assets";#N/A,#N/A,FALSE,"Balance Sheet";#N/A,#N/A,FALSE,"P &amp; L"}</definedName>
    <definedName name="XG액션">NA()</definedName>
    <definedName name="XRate" localSheetId="7">#REF!</definedName>
    <definedName name="XRate" localSheetId="0">#REF!</definedName>
    <definedName name="XRate">#REF!</definedName>
    <definedName name="xyz" localSheetId="3" hidden="1">{#N/A,#N/A,FALSE,"Cash Flows";#N/A,#N/A,FALSE,"Fixed Assets";#N/A,#N/A,FALSE,"Balance Sheet";#N/A,#N/A,FALSE,"P &amp; L"}</definedName>
    <definedName name="xyz" localSheetId="7" hidden="1">{#N/A,#N/A,FALSE,"Cash Flows";#N/A,#N/A,FALSE,"Fixed Assets";#N/A,#N/A,FALSE,"Balance Sheet";#N/A,#N/A,FALSE,"P &amp; L"}</definedName>
    <definedName name="xyz" localSheetId="4" hidden="1">{#N/A,#N/A,FALSE,"Cash Flows";#N/A,#N/A,FALSE,"Fixed Assets";#N/A,#N/A,FALSE,"Balance Sheet";#N/A,#N/A,FALSE,"P &amp; L"}</definedName>
    <definedName name="xyz" localSheetId="5" hidden="1">{#N/A,#N/A,FALSE,"Cash Flows";#N/A,#N/A,FALSE,"Fixed Assets";#N/A,#N/A,FALSE,"Balance Sheet";#N/A,#N/A,FALSE,"P &amp; L"}</definedName>
    <definedName name="xyz" localSheetId="2" hidden="1">{#N/A,#N/A,FALSE,"Cash Flows";#N/A,#N/A,FALSE,"Fixed Assets";#N/A,#N/A,FALSE,"Balance Sheet";#N/A,#N/A,FALSE,"P &amp; L"}</definedName>
    <definedName name="xyz" localSheetId="0" hidden="1">{#N/A,#N/A,FALSE,"Cash Flows";#N/A,#N/A,FALSE,"Fixed Assets";#N/A,#N/A,FALSE,"Balance Sheet";#N/A,#N/A,FALSE,"P &amp; L"}</definedName>
    <definedName name="xyz" localSheetId="8" hidden="1">{#N/A,#N/A,FALSE,"Cash Flows";#N/A,#N/A,FALSE,"Fixed Assets";#N/A,#N/A,FALSE,"Balance Sheet";#N/A,#N/A,FALSE,"P &amp; L"}</definedName>
    <definedName name="xyz" hidden="1">{#N/A,#N/A,FALSE,"Cash Flows";#N/A,#N/A,FALSE,"Fixed Assets";#N/A,#N/A,FALSE,"Balance Sheet";#N/A,#N/A,FALSE,"P &amp; L"}</definedName>
    <definedName name="xyz1" localSheetId="3" hidden="1">{#N/A,#N/A,FALSE,"Cash Flows";#N/A,#N/A,FALSE,"Fixed Assets";#N/A,#N/A,FALSE,"Balance Sheet";#N/A,#N/A,FALSE,"P &amp; L"}</definedName>
    <definedName name="xyz1" localSheetId="7" hidden="1">{#N/A,#N/A,FALSE,"Cash Flows";#N/A,#N/A,FALSE,"Fixed Assets";#N/A,#N/A,FALSE,"Balance Sheet";#N/A,#N/A,FALSE,"P &amp; L"}</definedName>
    <definedName name="xyz1" localSheetId="4" hidden="1">{#N/A,#N/A,FALSE,"Cash Flows";#N/A,#N/A,FALSE,"Fixed Assets";#N/A,#N/A,FALSE,"Balance Sheet";#N/A,#N/A,FALSE,"P &amp; L"}</definedName>
    <definedName name="xyz1" localSheetId="5" hidden="1">{#N/A,#N/A,FALSE,"Cash Flows";#N/A,#N/A,FALSE,"Fixed Assets";#N/A,#N/A,FALSE,"Balance Sheet";#N/A,#N/A,FALSE,"P &amp; L"}</definedName>
    <definedName name="xyz1" localSheetId="2" hidden="1">{#N/A,#N/A,FALSE,"Cash Flows";#N/A,#N/A,FALSE,"Fixed Assets";#N/A,#N/A,FALSE,"Balance Sheet";#N/A,#N/A,FALSE,"P &amp; L"}</definedName>
    <definedName name="xyz1" localSheetId="0" hidden="1">{#N/A,#N/A,FALSE,"Cash Flows";#N/A,#N/A,FALSE,"Fixed Assets";#N/A,#N/A,FALSE,"Balance Sheet";#N/A,#N/A,FALSE,"P &amp; L"}</definedName>
    <definedName name="xyz1" localSheetId="8" hidden="1">{#N/A,#N/A,FALSE,"Cash Flows";#N/A,#N/A,FALSE,"Fixed Assets";#N/A,#N/A,FALSE,"Balance Sheet";#N/A,#N/A,FALSE,"P &amp; L"}</definedName>
    <definedName name="xyz1" hidden="1">{#N/A,#N/A,FALSE,"Cash Flows";#N/A,#N/A,FALSE,"Fixed Assets";#N/A,#N/A,FALSE,"Balance Sheet";#N/A,#N/A,FALSE,"P &amp; L"}</definedName>
    <definedName name="xyz10" localSheetId="3" hidden="1">{#N/A,#N/A,FALSE,"Cash Flows";#N/A,#N/A,FALSE,"Fixed Assets";#N/A,#N/A,FALSE,"Balance Sheet";#N/A,#N/A,FALSE,"P &amp; L"}</definedName>
    <definedName name="xyz10" localSheetId="7" hidden="1">{#N/A,#N/A,FALSE,"Cash Flows";#N/A,#N/A,FALSE,"Fixed Assets";#N/A,#N/A,FALSE,"Balance Sheet";#N/A,#N/A,FALSE,"P &amp; L"}</definedName>
    <definedName name="xyz10" localSheetId="4" hidden="1">{#N/A,#N/A,FALSE,"Cash Flows";#N/A,#N/A,FALSE,"Fixed Assets";#N/A,#N/A,FALSE,"Balance Sheet";#N/A,#N/A,FALSE,"P &amp; L"}</definedName>
    <definedName name="xyz10" localSheetId="5" hidden="1">{#N/A,#N/A,FALSE,"Cash Flows";#N/A,#N/A,FALSE,"Fixed Assets";#N/A,#N/A,FALSE,"Balance Sheet";#N/A,#N/A,FALSE,"P &amp; L"}</definedName>
    <definedName name="xyz10" localSheetId="2" hidden="1">{#N/A,#N/A,FALSE,"Cash Flows";#N/A,#N/A,FALSE,"Fixed Assets";#N/A,#N/A,FALSE,"Balance Sheet";#N/A,#N/A,FALSE,"P &amp; L"}</definedName>
    <definedName name="xyz10" localSheetId="0" hidden="1">{#N/A,#N/A,FALSE,"Cash Flows";#N/A,#N/A,FALSE,"Fixed Assets";#N/A,#N/A,FALSE,"Balance Sheet";#N/A,#N/A,FALSE,"P &amp; L"}</definedName>
    <definedName name="xyz10" localSheetId="8" hidden="1">{#N/A,#N/A,FALSE,"Cash Flows";#N/A,#N/A,FALSE,"Fixed Assets";#N/A,#N/A,FALSE,"Balance Sheet";#N/A,#N/A,FALSE,"P &amp; L"}</definedName>
    <definedName name="xyz10" hidden="1">{#N/A,#N/A,FALSE,"Cash Flows";#N/A,#N/A,FALSE,"Fixed Assets";#N/A,#N/A,FALSE,"Balance Sheet";#N/A,#N/A,FALSE,"P &amp; L"}</definedName>
    <definedName name="xyz11" localSheetId="3" hidden="1">{#N/A,#N/A,FALSE,"Cash Flows";#N/A,#N/A,FALSE,"Fixed Assets";#N/A,#N/A,FALSE,"Balance Sheet";#N/A,#N/A,FALSE,"P &amp; L"}</definedName>
    <definedName name="xyz11" localSheetId="7" hidden="1">{#N/A,#N/A,FALSE,"Cash Flows";#N/A,#N/A,FALSE,"Fixed Assets";#N/A,#N/A,FALSE,"Balance Sheet";#N/A,#N/A,FALSE,"P &amp; L"}</definedName>
    <definedName name="xyz11" localSheetId="4" hidden="1">{#N/A,#N/A,FALSE,"Cash Flows";#N/A,#N/A,FALSE,"Fixed Assets";#N/A,#N/A,FALSE,"Balance Sheet";#N/A,#N/A,FALSE,"P &amp; L"}</definedName>
    <definedName name="xyz11" localSheetId="5" hidden="1">{#N/A,#N/A,FALSE,"Cash Flows";#N/A,#N/A,FALSE,"Fixed Assets";#N/A,#N/A,FALSE,"Balance Sheet";#N/A,#N/A,FALSE,"P &amp; L"}</definedName>
    <definedName name="xyz11" localSheetId="2" hidden="1">{#N/A,#N/A,FALSE,"Cash Flows";#N/A,#N/A,FALSE,"Fixed Assets";#N/A,#N/A,FALSE,"Balance Sheet";#N/A,#N/A,FALSE,"P &amp; L"}</definedName>
    <definedName name="xyz11" localSheetId="0" hidden="1">{#N/A,#N/A,FALSE,"Cash Flows";#N/A,#N/A,FALSE,"Fixed Assets";#N/A,#N/A,FALSE,"Balance Sheet";#N/A,#N/A,FALSE,"P &amp; L"}</definedName>
    <definedName name="xyz11" localSheetId="8" hidden="1">{#N/A,#N/A,FALSE,"Cash Flows";#N/A,#N/A,FALSE,"Fixed Assets";#N/A,#N/A,FALSE,"Balance Sheet";#N/A,#N/A,FALSE,"P &amp; L"}</definedName>
    <definedName name="xyz11" hidden="1">{#N/A,#N/A,FALSE,"Cash Flows";#N/A,#N/A,FALSE,"Fixed Assets";#N/A,#N/A,FALSE,"Balance Sheet";#N/A,#N/A,FALSE,"P &amp; L"}</definedName>
    <definedName name="xyz12" localSheetId="3" hidden="1">{#N/A,#N/A,FALSE,"Cash Flows";#N/A,#N/A,FALSE,"Fixed Assets";#N/A,#N/A,FALSE,"Balance Sheet";#N/A,#N/A,FALSE,"P &amp; L"}</definedName>
    <definedName name="xyz12" localSheetId="7" hidden="1">{#N/A,#N/A,FALSE,"Cash Flows";#N/A,#N/A,FALSE,"Fixed Assets";#N/A,#N/A,FALSE,"Balance Sheet";#N/A,#N/A,FALSE,"P &amp; L"}</definedName>
    <definedName name="xyz12" localSheetId="4" hidden="1">{#N/A,#N/A,FALSE,"Cash Flows";#N/A,#N/A,FALSE,"Fixed Assets";#N/A,#N/A,FALSE,"Balance Sheet";#N/A,#N/A,FALSE,"P &amp; L"}</definedName>
    <definedName name="xyz12" localSheetId="5" hidden="1">{#N/A,#N/A,FALSE,"Cash Flows";#N/A,#N/A,FALSE,"Fixed Assets";#N/A,#N/A,FALSE,"Balance Sheet";#N/A,#N/A,FALSE,"P &amp; L"}</definedName>
    <definedName name="xyz12" localSheetId="2" hidden="1">{#N/A,#N/A,FALSE,"Cash Flows";#N/A,#N/A,FALSE,"Fixed Assets";#N/A,#N/A,FALSE,"Balance Sheet";#N/A,#N/A,FALSE,"P &amp; L"}</definedName>
    <definedName name="xyz12" localSheetId="0" hidden="1">{#N/A,#N/A,FALSE,"Cash Flows";#N/A,#N/A,FALSE,"Fixed Assets";#N/A,#N/A,FALSE,"Balance Sheet";#N/A,#N/A,FALSE,"P &amp; L"}</definedName>
    <definedName name="xyz12" localSheetId="8" hidden="1">{#N/A,#N/A,FALSE,"Cash Flows";#N/A,#N/A,FALSE,"Fixed Assets";#N/A,#N/A,FALSE,"Balance Sheet";#N/A,#N/A,FALSE,"P &amp; L"}</definedName>
    <definedName name="xyz12" hidden="1">{#N/A,#N/A,FALSE,"Cash Flows";#N/A,#N/A,FALSE,"Fixed Assets";#N/A,#N/A,FALSE,"Balance Sheet";#N/A,#N/A,FALSE,"P &amp; L"}</definedName>
    <definedName name="xyz13" localSheetId="3" hidden="1">{#N/A,#N/A,FALSE,"Cash Flows";#N/A,#N/A,FALSE,"Fixed Assets";#N/A,#N/A,FALSE,"Balance Sheet";#N/A,#N/A,FALSE,"P &amp; L"}</definedName>
    <definedName name="xyz13" localSheetId="7" hidden="1">{#N/A,#N/A,FALSE,"Cash Flows";#N/A,#N/A,FALSE,"Fixed Assets";#N/A,#N/A,FALSE,"Balance Sheet";#N/A,#N/A,FALSE,"P &amp; L"}</definedName>
    <definedName name="xyz13" localSheetId="4" hidden="1">{#N/A,#N/A,FALSE,"Cash Flows";#N/A,#N/A,FALSE,"Fixed Assets";#N/A,#N/A,FALSE,"Balance Sheet";#N/A,#N/A,FALSE,"P &amp; L"}</definedName>
    <definedName name="xyz13" localSheetId="5" hidden="1">{#N/A,#N/A,FALSE,"Cash Flows";#N/A,#N/A,FALSE,"Fixed Assets";#N/A,#N/A,FALSE,"Balance Sheet";#N/A,#N/A,FALSE,"P &amp; L"}</definedName>
    <definedName name="xyz13" localSheetId="2" hidden="1">{#N/A,#N/A,FALSE,"Cash Flows";#N/A,#N/A,FALSE,"Fixed Assets";#N/A,#N/A,FALSE,"Balance Sheet";#N/A,#N/A,FALSE,"P &amp; L"}</definedName>
    <definedName name="xyz13" localSheetId="0" hidden="1">{#N/A,#N/A,FALSE,"Cash Flows";#N/A,#N/A,FALSE,"Fixed Assets";#N/A,#N/A,FALSE,"Balance Sheet";#N/A,#N/A,FALSE,"P &amp; L"}</definedName>
    <definedName name="xyz13" localSheetId="8" hidden="1">{#N/A,#N/A,FALSE,"Cash Flows";#N/A,#N/A,FALSE,"Fixed Assets";#N/A,#N/A,FALSE,"Balance Sheet";#N/A,#N/A,FALSE,"P &amp; L"}</definedName>
    <definedName name="xyz13" hidden="1">{#N/A,#N/A,FALSE,"Cash Flows";#N/A,#N/A,FALSE,"Fixed Assets";#N/A,#N/A,FALSE,"Balance Sheet";#N/A,#N/A,FALSE,"P &amp; L"}</definedName>
    <definedName name="xyz14" localSheetId="3" hidden="1">{#N/A,#N/A,FALSE,"Cash Flows";#N/A,#N/A,FALSE,"Fixed Assets";#N/A,#N/A,FALSE,"Balance Sheet";#N/A,#N/A,FALSE,"P &amp; L"}</definedName>
    <definedName name="xyz14" localSheetId="7" hidden="1">{#N/A,#N/A,FALSE,"Cash Flows";#N/A,#N/A,FALSE,"Fixed Assets";#N/A,#N/A,FALSE,"Balance Sheet";#N/A,#N/A,FALSE,"P &amp; L"}</definedName>
    <definedName name="xyz14" localSheetId="4" hidden="1">{#N/A,#N/A,FALSE,"Cash Flows";#N/A,#N/A,FALSE,"Fixed Assets";#N/A,#N/A,FALSE,"Balance Sheet";#N/A,#N/A,FALSE,"P &amp; L"}</definedName>
    <definedName name="xyz14" localSheetId="5" hidden="1">{#N/A,#N/A,FALSE,"Cash Flows";#N/A,#N/A,FALSE,"Fixed Assets";#N/A,#N/A,FALSE,"Balance Sheet";#N/A,#N/A,FALSE,"P &amp; L"}</definedName>
    <definedName name="xyz14" localSheetId="2" hidden="1">{#N/A,#N/A,FALSE,"Cash Flows";#N/A,#N/A,FALSE,"Fixed Assets";#N/A,#N/A,FALSE,"Balance Sheet";#N/A,#N/A,FALSE,"P &amp; L"}</definedName>
    <definedName name="xyz14" localSheetId="0" hidden="1">{#N/A,#N/A,FALSE,"Cash Flows";#N/A,#N/A,FALSE,"Fixed Assets";#N/A,#N/A,FALSE,"Balance Sheet";#N/A,#N/A,FALSE,"P &amp; L"}</definedName>
    <definedName name="xyz14" localSheetId="8" hidden="1">{#N/A,#N/A,FALSE,"Cash Flows";#N/A,#N/A,FALSE,"Fixed Assets";#N/A,#N/A,FALSE,"Balance Sheet";#N/A,#N/A,FALSE,"P &amp; L"}</definedName>
    <definedName name="xyz14" hidden="1">{#N/A,#N/A,FALSE,"Cash Flows";#N/A,#N/A,FALSE,"Fixed Assets";#N/A,#N/A,FALSE,"Balance Sheet";#N/A,#N/A,FALSE,"P &amp; L"}</definedName>
    <definedName name="xyz15" localSheetId="3" hidden="1">{#N/A,#N/A,FALSE,"Cash Flows";#N/A,#N/A,FALSE,"Fixed Assets";#N/A,#N/A,FALSE,"Balance Sheet";#N/A,#N/A,FALSE,"P &amp; L"}</definedName>
    <definedName name="xyz15" localSheetId="7" hidden="1">{#N/A,#N/A,FALSE,"Cash Flows";#N/A,#N/A,FALSE,"Fixed Assets";#N/A,#N/A,FALSE,"Balance Sheet";#N/A,#N/A,FALSE,"P &amp; L"}</definedName>
    <definedName name="xyz15" localSheetId="4" hidden="1">{#N/A,#N/A,FALSE,"Cash Flows";#N/A,#N/A,FALSE,"Fixed Assets";#N/A,#N/A,FALSE,"Balance Sheet";#N/A,#N/A,FALSE,"P &amp; L"}</definedName>
    <definedName name="xyz15" localSheetId="5" hidden="1">{#N/A,#N/A,FALSE,"Cash Flows";#N/A,#N/A,FALSE,"Fixed Assets";#N/A,#N/A,FALSE,"Balance Sheet";#N/A,#N/A,FALSE,"P &amp; L"}</definedName>
    <definedName name="xyz15" localSheetId="2" hidden="1">{#N/A,#N/A,FALSE,"Cash Flows";#N/A,#N/A,FALSE,"Fixed Assets";#N/A,#N/A,FALSE,"Balance Sheet";#N/A,#N/A,FALSE,"P &amp; L"}</definedName>
    <definedName name="xyz15" localSheetId="0" hidden="1">{#N/A,#N/A,FALSE,"Cash Flows";#N/A,#N/A,FALSE,"Fixed Assets";#N/A,#N/A,FALSE,"Balance Sheet";#N/A,#N/A,FALSE,"P &amp; L"}</definedName>
    <definedName name="xyz15" localSheetId="8" hidden="1">{#N/A,#N/A,FALSE,"Cash Flows";#N/A,#N/A,FALSE,"Fixed Assets";#N/A,#N/A,FALSE,"Balance Sheet";#N/A,#N/A,FALSE,"P &amp; L"}</definedName>
    <definedName name="xyz15" hidden="1">{#N/A,#N/A,FALSE,"Cash Flows";#N/A,#N/A,FALSE,"Fixed Assets";#N/A,#N/A,FALSE,"Balance Sheet";#N/A,#N/A,FALSE,"P &amp; L"}</definedName>
    <definedName name="xyz16" localSheetId="3" hidden="1">{#N/A,#N/A,FALSE,"Cash Flows";#N/A,#N/A,FALSE,"Fixed Assets";#N/A,#N/A,FALSE,"Balance Sheet";#N/A,#N/A,FALSE,"P &amp; L"}</definedName>
    <definedName name="xyz16" localSheetId="7" hidden="1">{#N/A,#N/A,FALSE,"Cash Flows";#N/A,#N/A,FALSE,"Fixed Assets";#N/A,#N/A,FALSE,"Balance Sheet";#N/A,#N/A,FALSE,"P &amp; L"}</definedName>
    <definedName name="xyz16" localSheetId="4" hidden="1">{#N/A,#N/A,FALSE,"Cash Flows";#N/A,#N/A,FALSE,"Fixed Assets";#N/A,#N/A,FALSE,"Balance Sheet";#N/A,#N/A,FALSE,"P &amp; L"}</definedName>
    <definedName name="xyz16" localSheetId="5" hidden="1">{#N/A,#N/A,FALSE,"Cash Flows";#N/A,#N/A,FALSE,"Fixed Assets";#N/A,#N/A,FALSE,"Balance Sheet";#N/A,#N/A,FALSE,"P &amp; L"}</definedName>
    <definedName name="xyz16" localSheetId="2" hidden="1">{#N/A,#N/A,FALSE,"Cash Flows";#N/A,#N/A,FALSE,"Fixed Assets";#N/A,#N/A,FALSE,"Balance Sheet";#N/A,#N/A,FALSE,"P &amp; L"}</definedName>
    <definedName name="xyz16" localSheetId="0" hidden="1">{#N/A,#N/A,FALSE,"Cash Flows";#N/A,#N/A,FALSE,"Fixed Assets";#N/A,#N/A,FALSE,"Balance Sheet";#N/A,#N/A,FALSE,"P &amp; L"}</definedName>
    <definedName name="xyz16" localSheetId="8" hidden="1">{#N/A,#N/A,FALSE,"Cash Flows";#N/A,#N/A,FALSE,"Fixed Assets";#N/A,#N/A,FALSE,"Balance Sheet";#N/A,#N/A,FALSE,"P &amp; L"}</definedName>
    <definedName name="xyz16" hidden="1">{#N/A,#N/A,FALSE,"Cash Flows";#N/A,#N/A,FALSE,"Fixed Assets";#N/A,#N/A,FALSE,"Balance Sheet";#N/A,#N/A,FALSE,"P &amp; L"}</definedName>
    <definedName name="xyz17" localSheetId="3" hidden="1">{#N/A,#N/A,TRUE,"Summary";#N/A,#N/A,TRUE,"Balance Sheet";#N/A,#N/A,TRUE,"P &amp; L";#N/A,#N/A,TRUE,"Fixed Assets";#N/A,#N/A,TRUE,"Cash Flows"}</definedName>
    <definedName name="xyz17" localSheetId="7" hidden="1">{#N/A,#N/A,TRUE,"Summary";#N/A,#N/A,TRUE,"Balance Sheet";#N/A,#N/A,TRUE,"P &amp; L";#N/A,#N/A,TRUE,"Fixed Assets";#N/A,#N/A,TRUE,"Cash Flows"}</definedName>
    <definedName name="xyz17" localSheetId="4" hidden="1">{#N/A,#N/A,TRUE,"Summary";#N/A,#N/A,TRUE,"Balance Sheet";#N/A,#N/A,TRUE,"P &amp; L";#N/A,#N/A,TRUE,"Fixed Assets";#N/A,#N/A,TRUE,"Cash Flows"}</definedName>
    <definedName name="xyz17" localSheetId="5" hidden="1">{#N/A,#N/A,TRUE,"Summary";#N/A,#N/A,TRUE,"Balance Sheet";#N/A,#N/A,TRUE,"P &amp; L";#N/A,#N/A,TRUE,"Fixed Assets";#N/A,#N/A,TRUE,"Cash Flows"}</definedName>
    <definedName name="xyz17" localSheetId="2" hidden="1">{#N/A,#N/A,TRUE,"Summary";#N/A,#N/A,TRUE,"Balance Sheet";#N/A,#N/A,TRUE,"P &amp; L";#N/A,#N/A,TRUE,"Fixed Assets";#N/A,#N/A,TRUE,"Cash Flows"}</definedName>
    <definedName name="xyz17" localSheetId="0" hidden="1">{#N/A,#N/A,TRUE,"Summary";#N/A,#N/A,TRUE,"Balance Sheet";#N/A,#N/A,TRUE,"P &amp; L";#N/A,#N/A,TRUE,"Fixed Assets";#N/A,#N/A,TRUE,"Cash Flows"}</definedName>
    <definedName name="xyz17" localSheetId="8" hidden="1">{#N/A,#N/A,TRUE,"Summary";#N/A,#N/A,TRUE,"Balance Sheet";#N/A,#N/A,TRUE,"P &amp; L";#N/A,#N/A,TRUE,"Fixed Assets";#N/A,#N/A,TRUE,"Cash Flows"}</definedName>
    <definedName name="xyz17" hidden="1">{#N/A,#N/A,TRUE,"Summary";#N/A,#N/A,TRUE,"Balance Sheet";#N/A,#N/A,TRUE,"P &amp; L";#N/A,#N/A,TRUE,"Fixed Assets";#N/A,#N/A,TRUE,"Cash Flows"}</definedName>
    <definedName name="xyz18" localSheetId="3" hidden="1">{#N/A,#N/A,TRUE,"Summary";#N/A,#N/A,TRUE,"Balance Sheet";#N/A,#N/A,TRUE,"P &amp; L";#N/A,#N/A,TRUE,"Fixed Assets";#N/A,#N/A,TRUE,"Cash Flows"}</definedName>
    <definedName name="xyz18" localSheetId="7" hidden="1">{#N/A,#N/A,TRUE,"Summary";#N/A,#N/A,TRUE,"Balance Sheet";#N/A,#N/A,TRUE,"P &amp; L";#N/A,#N/A,TRUE,"Fixed Assets";#N/A,#N/A,TRUE,"Cash Flows"}</definedName>
    <definedName name="xyz18" localSheetId="4" hidden="1">{#N/A,#N/A,TRUE,"Summary";#N/A,#N/A,TRUE,"Balance Sheet";#N/A,#N/A,TRUE,"P &amp; L";#N/A,#N/A,TRUE,"Fixed Assets";#N/A,#N/A,TRUE,"Cash Flows"}</definedName>
    <definedName name="xyz18" localSheetId="5" hidden="1">{#N/A,#N/A,TRUE,"Summary";#N/A,#N/A,TRUE,"Balance Sheet";#N/A,#N/A,TRUE,"P &amp; L";#N/A,#N/A,TRUE,"Fixed Assets";#N/A,#N/A,TRUE,"Cash Flows"}</definedName>
    <definedName name="xyz18" localSheetId="2" hidden="1">{#N/A,#N/A,TRUE,"Summary";#N/A,#N/A,TRUE,"Balance Sheet";#N/A,#N/A,TRUE,"P &amp; L";#N/A,#N/A,TRUE,"Fixed Assets";#N/A,#N/A,TRUE,"Cash Flows"}</definedName>
    <definedName name="xyz18" localSheetId="0" hidden="1">{#N/A,#N/A,TRUE,"Summary";#N/A,#N/A,TRUE,"Balance Sheet";#N/A,#N/A,TRUE,"P &amp; L";#N/A,#N/A,TRUE,"Fixed Assets";#N/A,#N/A,TRUE,"Cash Flows"}</definedName>
    <definedName name="xyz18" localSheetId="8" hidden="1">{#N/A,#N/A,TRUE,"Summary";#N/A,#N/A,TRUE,"Balance Sheet";#N/A,#N/A,TRUE,"P &amp; L";#N/A,#N/A,TRUE,"Fixed Assets";#N/A,#N/A,TRUE,"Cash Flows"}</definedName>
    <definedName name="xyz18" hidden="1">{#N/A,#N/A,TRUE,"Summary";#N/A,#N/A,TRUE,"Balance Sheet";#N/A,#N/A,TRUE,"P &amp; L";#N/A,#N/A,TRUE,"Fixed Assets";#N/A,#N/A,TRUE,"Cash Flows"}</definedName>
    <definedName name="xyz19" localSheetId="3" hidden="1">{#N/A,#N/A,FALSE,"Cash Flows";#N/A,#N/A,FALSE,"Fixed Assets";#N/A,#N/A,FALSE,"Balance Sheet";#N/A,#N/A,FALSE,"P &amp; L"}</definedName>
    <definedName name="xyz19" localSheetId="7" hidden="1">{#N/A,#N/A,FALSE,"Cash Flows";#N/A,#N/A,FALSE,"Fixed Assets";#N/A,#N/A,FALSE,"Balance Sheet";#N/A,#N/A,FALSE,"P &amp; L"}</definedName>
    <definedName name="xyz19" localSheetId="4" hidden="1">{#N/A,#N/A,FALSE,"Cash Flows";#N/A,#N/A,FALSE,"Fixed Assets";#N/A,#N/A,FALSE,"Balance Sheet";#N/A,#N/A,FALSE,"P &amp; L"}</definedName>
    <definedName name="xyz19" localSheetId="5" hidden="1">{#N/A,#N/A,FALSE,"Cash Flows";#N/A,#N/A,FALSE,"Fixed Assets";#N/A,#N/A,FALSE,"Balance Sheet";#N/A,#N/A,FALSE,"P &amp; L"}</definedName>
    <definedName name="xyz19" localSheetId="2" hidden="1">{#N/A,#N/A,FALSE,"Cash Flows";#N/A,#N/A,FALSE,"Fixed Assets";#N/A,#N/A,FALSE,"Balance Sheet";#N/A,#N/A,FALSE,"P &amp; L"}</definedName>
    <definedName name="xyz19" localSheetId="0" hidden="1">{#N/A,#N/A,FALSE,"Cash Flows";#N/A,#N/A,FALSE,"Fixed Assets";#N/A,#N/A,FALSE,"Balance Sheet";#N/A,#N/A,FALSE,"P &amp; L"}</definedName>
    <definedName name="xyz19" localSheetId="8" hidden="1">{#N/A,#N/A,FALSE,"Cash Flows";#N/A,#N/A,FALSE,"Fixed Assets";#N/A,#N/A,FALSE,"Balance Sheet";#N/A,#N/A,FALSE,"P &amp; L"}</definedName>
    <definedName name="xyz19" hidden="1">{#N/A,#N/A,FALSE,"Cash Flows";#N/A,#N/A,FALSE,"Fixed Assets";#N/A,#N/A,FALSE,"Balance Sheet";#N/A,#N/A,FALSE,"P &amp; L"}</definedName>
    <definedName name="xyz2" localSheetId="3" hidden="1">{#N/A,#N/A,FALSE,"Cash Flows";#N/A,#N/A,FALSE,"Fixed Assets";#N/A,#N/A,FALSE,"Balance Sheet";#N/A,#N/A,FALSE,"P &amp; L"}</definedName>
    <definedName name="xyz2" localSheetId="7" hidden="1">{#N/A,#N/A,FALSE,"Cash Flows";#N/A,#N/A,FALSE,"Fixed Assets";#N/A,#N/A,FALSE,"Balance Sheet";#N/A,#N/A,FALSE,"P &amp; L"}</definedName>
    <definedName name="xyz2" localSheetId="4" hidden="1">{#N/A,#N/A,FALSE,"Cash Flows";#N/A,#N/A,FALSE,"Fixed Assets";#N/A,#N/A,FALSE,"Balance Sheet";#N/A,#N/A,FALSE,"P &amp; L"}</definedName>
    <definedName name="xyz2" localSheetId="5" hidden="1">{#N/A,#N/A,FALSE,"Cash Flows";#N/A,#N/A,FALSE,"Fixed Assets";#N/A,#N/A,FALSE,"Balance Sheet";#N/A,#N/A,FALSE,"P &amp; L"}</definedName>
    <definedName name="xyz2" localSheetId="2" hidden="1">{#N/A,#N/A,FALSE,"Cash Flows";#N/A,#N/A,FALSE,"Fixed Assets";#N/A,#N/A,FALSE,"Balance Sheet";#N/A,#N/A,FALSE,"P &amp; L"}</definedName>
    <definedName name="xyz2" localSheetId="0" hidden="1">{#N/A,#N/A,FALSE,"Cash Flows";#N/A,#N/A,FALSE,"Fixed Assets";#N/A,#N/A,FALSE,"Balance Sheet";#N/A,#N/A,FALSE,"P &amp; L"}</definedName>
    <definedName name="xyz2" localSheetId="8" hidden="1">{#N/A,#N/A,FALSE,"Cash Flows";#N/A,#N/A,FALSE,"Fixed Assets";#N/A,#N/A,FALSE,"Balance Sheet";#N/A,#N/A,FALSE,"P &amp; L"}</definedName>
    <definedName name="xyz2" hidden="1">{#N/A,#N/A,FALSE,"Cash Flows";#N/A,#N/A,FALSE,"Fixed Assets";#N/A,#N/A,FALSE,"Balance Sheet";#N/A,#N/A,FALSE,"P &amp; L"}</definedName>
    <definedName name="xyz20" localSheetId="3" hidden="1">{#N/A,#N/A,FALSE,"Cash Flows";#N/A,#N/A,FALSE,"Fixed Assets";#N/A,#N/A,FALSE,"Balance Sheet";#N/A,#N/A,FALSE,"P &amp; L"}</definedName>
    <definedName name="xyz20" localSheetId="7" hidden="1">{#N/A,#N/A,FALSE,"Cash Flows";#N/A,#N/A,FALSE,"Fixed Assets";#N/A,#N/A,FALSE,"Balance Sheet";#N/A,#N/A,FALSE,"P &amp; L"}</definedName>
    <definedName name="xyz20" localSheetId="4" hidden="1">{#N/A,#N/A,FALSE,"Cash Flows";#N/A,#N/A,FALSE,"Fixed Assets";#N/A,#N/A,FALSE,"Balance Sheet";#N/A,#N/A,FALSE,"P &amp; L"}</definedName>
    <definedName name="xyz20" localSheetId="5" hidden="1">{#N/A,#N/A,FALSE,"Cash Flows";#N/A,#N/A,FALSE,"Fixed Assets";#N/A,#N/A,FALSE,"Balance Sheet";#N/A,#N/A,FALSE,"P &amp; L"}</definedName>
    <definedName name="xyz20" localSheetId="2" hidden="1">{#N/A,#N/A,FALSE,"Cash Flows";#N/A,#N/A,FALSE,"Fixed Assets";#N/A,#N/A,FALSE,"Balance Sheet";#N/A,#N/A,FALSE,"P &amp; L"}</definedName>
    <definedName name="xyz20" localSheetId="0" hidden="1">{#N/A,#N/A,FALSE,"Cash Flows";#N/A,#N/A,FALSE,"Fixed Assets";#N/A,#N/A,FALSE,"Balance Sheet";#N/A,#N/A,FALSE,"P &amp; L"}</definedName>
    <definedName name="xyz20" localSheetId="8" hidden="1">{#N/A,#N/A,FALSE,"Cash Flows";#N/A,#N/A,FALSE,"Fixed Assets";#N/A,#N/A,FALSE,"Balance Sheet";#N/A,#N/A,FALSE,"P &amp; L"}</definedName>
    <definedName name="xyz20" hidden="1">{#N/A,#N/A,FALSE,"Cash Flows";#N/A,#N/A,FALSE,"Fixed Assets";#N/A,#N/A,FALSE,"Balance Sheet";#N/A,#N/A,FALSE,"P &amp; L"}</definedName>
    <definedName name="xyz21" localSheetId="3" hidden="1">{#N/A,#N/A,TRUE,"Summary";#N/A,#N/A,TRUE,"Balance Sheet";#N/A,#N/A,TRUE,"P &amp; L";#N/A,#N/A,TRUE,"Fixed Assets";#N/A,#N/A,TRUE,"Cash Flows"}</definedName>
    <definedName name="xyz21" localSheetId="7" hidden="1">{#N/A,#N/A,TRUE,"Summary";#N/A,#N/A,TRUE,"Balance Sheet";#N/A,#N/A,TRUE,"P &amp; L";#N/A,#N/A,TRUE,"Fixed Assets";#N/A,#N/A,TRUE,"Cash Flows"}</definedName>
    <definedName name="xyz21" localSheetId="4" hidden="1">{#N/A,#N/A,TRUE,"Summary";#N/A,#N/A,TRUE,"Balance Sheet";#N/A,#N/A,TRUE,"P &amp; L";#N/A,#N/A,TRUE,"Fixed Assets";#N/A,#N/A,TRUE,"Cash Flows"}</definedName>
    <definedName name="xyz21" localSheetId="5" hidden="1">{#N/A,#N/A,TRUE,"Summary";#N/A,#N/A,TRUE,"Balance Sheet";#N/A,#N/A,TRUE,"P &amp; L";#N/A,#N/A,TRUE,"Fixed Assets";#N/A,#N/A,TRUE,"Cash Flows"}</definedName>
    <definedName name="xyz21" localSheetId="2" hidden="1">{#N/A,#N/A,TRUE,"Summary";#N/A,#N/A,TRUE,"Balance Sheet";#N/A,#N/A,TRUE,"P &amp; L";#N/A,#N/A,TRUE,"Fixed Assets";#N/A,#N/A,TRUE,"Cash Flows"}</definedName>
    <definedName name="xyz21" localSheetId="0" hidden="1">{#N/A,#N/A,TRUE,"Summary";#N/A,#N/A,TRUE,"Balance Sheet";#N/A,#N/A,TRUE,"P &amp; L";#N/A,#N/A,TRUE,"Fixed Assets";#N/A,#N/A,TRUE,"Cash Flows"}</definedName>
    <definedName name="xyz21" localSheetId="8" hidden="1">{#N/A,#N/A,TRUE,"Summary";#N/A,#N/A,TRUE,"Balance Sheet";#N/A,#N/A,TRUE,"P &amp; L";#N/A,#N/A,TRUE,"Fixed Assets";#N/A,#N/A,TRUE,"Cash Flows"}</definedName>
    <definedName name="xyz21" hidden="1">{#N/A,#N/A,TRUE,"Summary";#N/A,#N/A,TRUE,"Balance Sheet";#N/A,#N/A,TRUE,"P &amp; L";#N/A,#N/A,TRUE,"Fixed Assets";#N/A,#N/A,TRUE,"Cash Flows"}</definedName>
    <definedName name="xyz22" localSheetId="3" hidden="1">{#N/A,#N/A,FALSE,"Cash Flows";#N/A,#N/A,FALSE,"Fixed Assets";#N/A,#N/A,FALSE,"Balance Sheet";#N/A,#N/A,FALSE,"P &amp; L"}</definedName>
    <definedName name="xyz22" localSheetId="7" hidden="1">{#N/A,#N/A,FALSE,"Cash Flows";#N/A,#N/A,FALSE,"Fixed Assets";#N/A,#N/A,FALSE,"Balance Sheet";#N/A,#N/A,FALSE,"P &amp; L"}</definedName>
    <definedName name="xyz22" localSheetId="4" hidden="1">{#N/A,#N/A,FALSE,"Cash Flows";#N/A,#N/A,FALSE,"Fixed Assets";#N/A,#N/A,FALSE,"Balance Sheet";#N/A,#N/A,FALSE,"P &amp; L"}</definedName>
    <definedName name="xyz22" localSheetId="5" hidden="1">{#N/A,#N/A,FALSE,"Cash Flows";#N/A,#N/A,FALSE,"Fixed Assets";#N/A,#N/A,FALSE,"Balance Sheet";#N/A,#N/A,FALSE,"P &amp; L"}</definedName>
    <definedName name="xyz22" localSheetId="2" hidden="1">{#N/A,#N/A,FALSE,"Cash Flows";#N/A,#N/A,FALSE,"Fixed Assets";#N/A,#N/A,FALSE,"Balance Sheet";#N/A,#N/A,FALSE,"P &amp; L"}</definedName>
    <definedName name="xyz22" localSheetId="0" hidden="1">{#N/A,#N/A,FALSE,"Cash Flows";#N/A,#N/A,FALSE,"Fixed Assets";#N/A,#N/A,FALSE,"Balance Sheet";#N/A,#N/A,FALSE,"P &amp; L"}</definedName>
    <definedName name="xyz22" localSheetId="8" hidden="1">{#N/A,#N/A,FALSE,"Cash Flows";#N/A,#N/A,FALSE,"Fixed Assets";#N/A,#N/A,FALSE,"Balance Sheet";#N/A,#N/A,FALSE,"P &amp; L"}</definedName>
    <definedName name="xyz22" hidden="1">{#N/A,#N/A,FALSE,"Cash Flows";#N/A,#N/A,FALSE,"Fixed Assets";#N/A,#N/A,FALSE,"Balance Sheet";#N/A,#N/A,FALSE,"P &amp; L"}</definedName>
    <definedName name="xyz23" localSheetId="3" hidden="1">{#N/A,#N/A,FALSE,"Cash Flows";#N/A,#N/A,FALSE,"Fixed Assets";#N/A,#N/A,FALSE,"Balance Sheet";#N/A,#N/A,FALSE,"P &amp; L"}</definedName>
    <definedName name="xyz23" localSheetId="7" hidden="1">{#N/A,#N/A,FALSE,"Cash Flows";#N/A,#N/A,FALSE,"Fixed Assets";#N/A,#N/A,FALSE,"Balance Sheet";#N/A,#N/A,FALSE,"P &amp; L"}</definedName>
    <definedName name="xyz23" localSheetId="4" hidden="1">{#N/A,#N/A,FALSE,"Cash Flows";#N/A,#N/A,FALSE,"Fixed Assets";#N/A,#N/A,FALSE,"Balance Sheet";#N/A,#N/A,FALSE,"P &amp; L"}</definedName>
    <definedName name="xyz23" localSheetId="5" hidden="1">{#N/A,#N/A,FALSE,"Cash Flows";#N/A,#N/A,FALSE,"Fixed Assets";#N/A,#N/A,FALSE,"Balance Sheet";#N/A,#N/A,FALSE,"P &amp; L"}</definedName>
    <definedName name="xyz23" localSheetId="2" hidden="1">{#N/A,#N/A,FALSE,"Cash Flows";#N/A,#N/A,FALSE,"Fixed Assets";#N/A,#N/A,FALSE,"Balance Sheet";#N/A,#N/A,FALSE,"P &amp; L"}</definedName>
    <definedName name="xyz23" localSheetId="0" hidden="1">{#N/A,#N/A,FALSE,"Cash Flows";#N/A,#N/A,FALSE,"Fixed Assets";#N/A,#N/A,FALSE,"Balance Sheet";#N/A,#N/A,FALSE,"P &amp; L"}</definedName>
    <definedName name="xyz23" localSheetId="8" hidden="1">{#N/A,#N/A,FALSE,"Cash Flows";#N/A,#N/A,FALSE,"Fixed Assets";#N/A,#N/A,FALSE,"Balance Sheet";#N/A,#N/A,FALSE,"P &amp; L"}</definedName>
    <definedName name="xyz23" hidden="1">{#N/A,#N/A,FALSE,"Cash Flows";#N/A,#N/A,FALSE,"Fixed Assets";#N/A,#N/A,FALSE,"Balance Sheet";#N/A,#N/A,FALSE,"P &amp; L"}</definedName>
    <definedName name="xyz24" localSheetId="3" hidden="1">{#N/A,#N/A,TRUE,"Summary";#N/A,#N/A,TRUE,"Balance Sheet";#N/A,#N/A,TRUE,"P &amp; L";#N/A,#N/A,TRUE,"Fixed Assets";#N/A,#N/A,TRUE,"Cash Flows"}</definedName>
    <definedName name="xyz24" localSheetId="7" hidden="1">{#N/A,#N/A,TRUE,"Summary";#N/A,#N/A,TRUE,"Balance Sheet";#N/A,#N/A,TRUE,"P &amp; L";#N/A,#N/A,TRUE,"Fixed Assets";#N/A,#N/A,TRUE,"Cash Flows"}</definedName>
    <definedName name="xyz24" localSheetId="4" hidden="1">{#N/A,#N/A,TRUE,"Summary";#N/A,#N/A,TRUE,"Balance Sheet";#N/A,#N/A,TRUE,"P &amp; L";#N/A,#N/A,TRUE,"Fixed Assets";#N/A,#N/A,TRUE,"Cash Flows"}</definedName>
    <definedName name="xyz24" localSheetId="5" hidden="1">{#N/A,#N/A,TRUE,"Summary";#N/A,#N/A,TRUE,"Balance Sheet";#N/A,#N/A,TRUE,"P &amp; L";#N/A,#N/A,TRUE,"Fixed Assets";#N/A,#N/A,TRUE,"Cash Flows"}</definedName>
    <definedName name="xyz24" localSheetId="2" hidden="1">{#N/A,#N/A,TRUE,"Summary";#N/A,#N/A,TRUE,"Balance Sheet";#N/A,#N/A,TRUE,"P &amp; L";#N/A,#N/A,TRUE,"Fixed Assets";#N/A,#N/A,TRUE,"Cash Flows"}</definedName>
    <definedName name="xyz24" localSheetId="0" hidden="1">{#N/A,#N/A,TRUE,"Summary";#N/A,#N/A,TRUE,"Balance Sheet";#N/A,#N/A,TRUE,"P &amp; L";#N/A,#N/A,TRUE,"Fixed Assets";#N/A,#N/A,TRUE,"Cash Flows"}</definedName>
    <definedName name="xyz24" localSheetId="8" hidden="1">{#N/A,#N/A,TRUE,"Summary";#N/A,#N/A,TRUE,"Balance Sheet";#N/A,#N/A,TRUE,"P &amp; L";#N/A,#N/A,TRUE,"Fixed Assets";#N/A,#N/A,TRUE,"Cash Flows"}</definedName>
    <definedName name="xyz24" hidden="1">{#N/A,#N/A,TRUE,"Summary";#N/A,#N/A,TRUE,"Balance Sheet";#N/A,#N/A,TRUE,"P &amp; L";#N/A,#N/A,TRUE,"Fixed Assets";#N/A,#N/A,TRUE,"Cash Flows"}</definedName>
    <definedName name="xyz25" localSheetId="3" hidden="1">{#N/A,#N/A,FALSE,"Cash Flows";#N/A,#N/A,FALSE,"Fixed Assets";#N/A,#N/A,FALSE,"Balance Sheet";#N/A,#N/A,FALSE,"P &amp; L"}</definedName>
    <definedName name="xyz25" localSheetId="7" hidden="1">{#N/A,#N/A,FALSE,"Cash Flows";#N/A,#N/A,FALSE,"Fixed Assets";#N/A,#N/A,FALSE,"Balance Sheet";#N/A,#N/A,FALSE,"P &amp; L"}</definedName>
    <definedName name="xyz25" localSheetId="4" hidden="1">{#N/A,#N/A,FALSE,"Cash Flows";#N/A,#N/A,FALSE,"Fixed Assets";#N/A,#N/A,FALSE,"Balance Sheet";#N/A,#N/A,FALSE,"P &amp; L"}</definedName>
    <definedName name="xyz25" localSheetId="5" hidden="1">{#N/A,#N/A,FALSE,"Cash Flows";#N/A,#N/A,FALSE,"Fixed Assets";#N/A,#N/A,FALSE,"Balance Sheet";#N/A,#N/A,FALSE,"P &amp; L"}</definedName>
    <definedName name="xyz25" localSheetId="2" hidden="1">{#N/A,#N/A,FALSE,"Cash Flows";#N/A,#N/A,FALSE,"Fixed Assets";#N/A,#N/A,FALSE,"Balance Sheet";#N/A,#N/A,FALSE,"P &amp; L"}</definedName>
    <definedName name="xyz25" localSheetId="0" hidden="1">{#N/A,#N/A,FALSE,"Cash Flows";#N/A,#N/A,FALSE,"Fixed Assets";#N/A,#N/A,FALSE,"Balance Sheet";#N/A,#N/A,FALSE,"P &amp; L"}</definedName>
    <definedName name="xyz25" localSheetId="8" hidden="1">{#N/A,#N/A,FALSE,"Cash Flows";#N/A,#N/A,FALSE,"Fixed Assets";#N/A,#N/A,FALSE,"Balance Sheet";#N/A,#N/A,FALSE,"P &amp; L"}</definedName>
    <definedName name="xyz25" hidden="1">{#N/A,#N/A,FALSE,"Cash Flows";#N/A,#N/A,FALSE,"Fixed Assets";#N/A,#N/A,FALSE,"Balance Sheet";#N/A,#N/A,FALSE,"P &amp; L"}</definedName>
    <definedName name="xyz26" localSheetId="3" hidden="1">{#N/A,#N/A,TRUE,"Summary";#N/A,#N/A,TRUE,"Balance Sheet";#N/A,#N/A,TRUE,"P &amp; L";#N/A,#N/A,TRUE,"Fixed Assets";#N/A,#N/A,TRUE,"Cash Flows"}</definedName>
    <definedName name="xyz26" localSheetId="7" hidden="1">{#N/A,#N/A,TRUE,"Summary";#N/A,#N/A,TRUE,"Balance Sheet";#N/A,#N/A,TRUE,"P &amp; L";#N/A,#N/A,TRUE,"Fixed Assets";#N/A,#N/A,TRUE,"Cash Flows"}</definedName>
    <definedName name="xyz26" localSheetId="4" hidden="1">{#N/A,#N/A,TRUE,"Summary";#N/A,#N/A,TRUE,"Balance Sheet";#N/A,#N/A,TRUE,"P &amp; L";#N/A,#N/A,TRUE,"Fixed Assets";#N/A,#N/A,TRUE,"Cash Flows"}</definedName>
    <definedName name="xyz26" localSheetId="5" hidden="1">{#N/A,#N/A,TRUE,"Summary";#N/A,#N/A,TRUE,"Balance Sheet";#N/A,#N/A,TRUE,"P &amp; L";#N/A,#N/A,TRUE,"Fixed Assets";#N/A,#N/A,TRUE,"Cash Flows"}</definedName>
    <definedName name="xyz26" localSheetId="2" hidden="1">{#N/A,#N/A,TRUE,"Summary";#N/A,#N/A,TRUE,"Balance Sheet";#N/A,#N/A,TRUE,"P &amp; L";#N/A,#N/A,TRUE,"Fixed Assets";#N/A,#N/A,TRUE,"Cash Flows"}</definedName>
    <definedName name="xyz26" localSheetId="0" hidden="1">{#N/A,#N/A,TRUE,"Summary";#N/A,#N/A,TRUE,"Balance Sheet";#N/A,#N/A,TRUE,"P &amp; L";#N/A,#N/A,TRUE,"Fixed Assets";#N/A,#N/A,TRUE,"Cash Flows"}</definedName>
    <definedName name="xyz26" localSheetId="8" hidden="1">{#N/A,#N/A,TRUE,"Summary";#N/A,#N/A,TRUE,"Balance Sheet";#N/A,#N/A,TRUE,"P &amp; L";#N/A,#N/A,TRUE,"Fixed Assets";#N/A,#N/A,TRUE,"Cash Flows"}</definedName>
    <definedName name="xyz26" hidden="1">{#N/A,#N/A,TRUE,"Summary";#N/A,#N/A,TRUE,"Balance Sheet";#N/A,#N/A,TRUE,"P &amp; L";#N/A,#N/A,TRUE,"Fixed Assets";#N/A,#N/A,TRUE,"Cash Flows"}</definedName>
    <definedName name="xyz27" localSheetId="3" hidden="1">{#N/A,#N/A,FALSE,"Cash Flows";#N/A,#N/A,FALSE,"Fixed Assets";#N/A,#N/A,FALSE,"Balance Sheet";#N/A,#N/A,FALSE,"P &amp; L"}</definedName>
    <definedName name="xyz27" localSheetId="7" hidden="1">{#N/A,#N/A,FALSE,"Cash Flows";#N/A,#N/A,FALSE,"Fixed Assets";#N/A,#N/A,FALSE,"Balance Sheet";#N/A,#N/A,FALSE,"P &amp; L"}</definedName>
    <definedName name="xyz27" localSheetId="4" hidden="1">{#N/A,#N/A,FALSE,"Cash Flows";#N/A,#N/A,FALSE,"Fixed Assets";#N/A,#N/A,FALSE,"Balance Sheet";#N/A,#N/A,FALSE,"P &amp; L"}</definedName>
    <definedName name="xyz27" localSheetId="5" hidden="1">{#N/A,#N/A,FALSE,"Cash Flows";#N/A,#N/A,FALSE,"Fixed Assets";#N/A,#N/A,FALSE,"Balance Sheet";#N/A,#N/A,FALSE,"P &amp; L"}</definedName>
    <definedName name="xyz27" localSheetId="2" hidden="1">{#N/A,#N/A,FALSE,"Cash Flows";#N/A,#N/A,FALSE,"Fixed Assets";#N/A,#N/A,FALSE,"Balance Sheet";#N/A,#N/A,FALSE,"P &amp; L"}</definedName>
    <definedName name="xyz27" localSheetId="0" hidden="1">{#N/A,#N/A,FALSE,"Cash Flows";#N/A,#N/A,FALSE,"Fixed Assets";#N/A,#N/A,FALSE,"Balance Sheet";#N/A,#N/A,FALSE,"P &amp; L"}</definedName>
    <definedName name="xyz27" localSheetId="8" hidden="1">{#N/A,#N/A,FALSE,"Cash Flows";#N/A,#N/A,FALSE,"Fixed Assets";#N/A,#N/A,FALSE,"Balance Sheet";#N/A,#N/A,FALSE,"P &amp; L"}</definedName>
    <definedName name="xyz27" hidden="1">{#N/A,#N/A,FALSE,"Cash Flows";#N/A,#N/A,FALSE,"Fixed Assets";#N/A,#N/A,FALSE,"Balance Sheet";#N/A,#N/A,FALSE,"P &amp; L"}</definedName>
    <definedName name="xyz28" localSheetId="3" hidden="1">{#N/A,#N/A,TRUE,"Summary";#N/A,#N/A,TRUE,"Balance Sheet";#N/A,#N/A,TRUE,"P &amp; L";#N/A,#N/A,TRUE,"Fixed Assets";#N/A,#N/A,TRUE,"Cash Flows"}</definedName>
    <definedName name="xyz28" localSheetId="7" hidden="1">{#N/A,#N/A,TRUE,"Summary";#N/A,#N/A,TRUE,"Balance Sheet";#N/A,#N/A,TRUE,"P &amp; L";#N/A,#N/A,TRUE,"Fixed Assets";#N/A,#N/A,TRUE,"Cash Flows"}</definedName>
    <definedName name="xyz28" localSheetId="4" hidden="1">{#N/A,#N/A,TRUE,"Summary";#N/A,#N/A,TRUE,"Balance Sheet";#N/A,#N/A,TRUE,"P &amp; L";#N/A,#N/A,TRUE,"Fixed Assets";#N/A,#N/A,TRUE,"Cash Flows"}</definedName>
    <definedName name="xyz28" localSheetId="5" hidden="1">{#N/A,#N/A,TRUE,"Summary";#N/A,#N/A,TRUE,"Balance Sheet";#N/A,#N/A,TRUE,"P &amp; L";#N/A,#N/A,TRUE,"Fixed Assets";#N/A,#N/A,TRUE,"Cash Flows"}</definedName>
    <definedName name="xyz28" localSheetId="2" hidden="1">{#N/A,#N/A,TRUE,"Summary";#N/A,#N/A,TRUE,"Balance Sheet";#N/A,#N/A,TRUE,"P &amp; L";#N/A,#N/A,TRUE,"Fixed Assets";#N/A,#N/A,TRUE,"Cash Flows"}</definedName>
    <definedName name="xyz28" localSheetId="0" hidden="1">{#N/A,#N/A,TRUE,"Summary";#N/A,#N/A,TRUE,"Balance Sheet";#N/A,#N/A,TRUE,"P &amp; L";#N/A,#N/A,TRUE,"Fixed Assets";#N/A,#N/A,TRUE,"Cash Flows"}</definedName>
    <definedName name="xyz28" localSheetId="8" hidden="1">{#N/A,#N/A,TRUE,"Summary";#N/A,#N/A,TRUE,"Balance Sheet";#N/A,#N/A,TRUE,"P &amp; L";#N/A,#N/A,TRUE,"Fixed Assets";#N/A,#N/A,TRUE,"Cash Flows"}</definedName>
    <definedName name="xyz28" hidden="1">{#N/A,#N/A,TRUE,"Summary";#N/A,#N/A,TRUE,"Balance Sheet";#N/A,#N/A,TRUE,"P &amp; L";#N/A,#N/A,TRUE,"Fixed Assets";#N/A,#N/A,TRUE,"Cash Flows"}</definedName>
    <definedName name="xyz29" localSheetId="3" hidden="1">{#N/A,#N/A,FALSE,"Cash Flows";#N/A,#N/A,FALSE,"Fixed Assets";#N/A,#N/A,FALSE,"Balance Sheet";#N/A,#N/A,FALSE,"P &amp; L"}</definedName>
    <definedName name="xyz29" localSheetId="7" hidden="1">{#N/A,#N/A,FALSE,"Cash Flows";#N/A,#N/A,FALSE,"Fixed Assets";#N/A,#N/A,FALSE,"Balance Sheet";#N/A,#N/A,FALSE,"P &amp; L"}</definedName>
    <definedName name="xyz29" localSheetId="4" hidden="1">{#N/A,#N/A,FALSE,"Cash Flows";#N/A,#N/A,FALSE,"Fixed Assets";#N/A,#N/A,FALSE,"Balance Sheet";#N/A,#N/A,FALSE,"P &amp; L"}</definedName>
    <definedName name="xyz29" localSheetId="5" hidden="1">{#N/A,#N/A,FALSE,"Cash Flows";#N/A,#N/A,FALSE,"Fixed Assets";#N/A,#N/A,FALSE,"Balance Sheet";#N/A,#N/A,FALSE,"P &amp; L"}</definedName>
    <definedName name="xyz29" localSheetId="2" hidden="1">{#N/A,#N/A,FALSE,"Cash Flows";#N/A,#N/A,FALSE,"Fixed Assets";#N/A,#N/A,FALSE,"Balance Sheet";#N/A,#N/A,FALSE,"P &amp; L"}</definedName>
    <definedName name="xyz29" localSheetId="0" hidden="1">{#N/A,#N/A,FALSE,"Cash Flows";#N/A,#N/A,FALSE,"Fixed Assets";#N/A,#N/A,FALSE,"Balance Sheet";#N/A,#N/A,FALSE,"P &amp; L"}</definedName>
    <definedName name="xyz29" localSheetId="8" hidden="1">{#N/A,#N/A,FALSE,"Cash Flows";#N/A,#N/A,FALSE,"Fixed Assets";#N/A,#N/A,FALSE,"Balance Sheet";#N/A,#N/A,FALSE,"P &amp; L"}</definedName>
    <definedName name="xyz29" hidden="1">{#N/A,#N/A,FALSE,"Cash Flows";#N/A,#N/A,FALSE,"Fixed Assets";#N/A,#N/A,FALSE,"Balance Sheet";#N/A,#N/A,FALSE,"P &amp; L"}</definedName>
    <definedName name="xyz3" localSheetId="3" hidden="1">{#N/A,#N/A,FALSE,"Cash Flows";#N/A,#N/A,FALSE,"Fixed Assets";#N/A,#N/A,FALSE,"Balance Sheet";#N/A,#N/A,FALSE,"P &amp; L"}</definedName>
    <definedName name="xyz3" localSheetId="7" hidden="1">{#N/A,#N/A,FALSE,"Cash Flows";#N/A,#N/A,FALSE,"Fixed Assets";#N/A,#N/A,FALSE,"Balance Sheet";#N/A,#N/A,FALSE,"P &amp; L"}</definedName>
    <definedName name="xyz3" localSheetId="4" hidden="1">{#N/A,#N/A,FALSE,"Cash Flows";#N/A,#N/A,FALSE,"Fixed Assets";#N/A,#N/A,FALSE,"Balance Sheet";#N/A,#N/A,FALSE,"P &amp; L"}</definedName>
    <definedName name="xyz3" localSheetId="5" hidden="1">{#N/A,#N/A,FALSE,"Cash Flows";#N/A,#N/A,FALSE,"Fixed Assets";#N/A,#N/A,FALSE,"Balance Sheet";#N/A,#N/A,FALSE,"P &amp; L"}</definedName>
    <definedName name="xyz3" localSheetId="2" hidden="1">{#N/A,#N/A,FALSE,"Cash Flows";#N/A,#N/A,FALSE,"Fixed Assets";#N/A,#N/A,FALSE,"Balance Sheet";#N/A,#N/A,FALSE,"P &amp; L"}</definedName>
    <definedName name="xyz3" localSheetId="0" hidden="1">{#N/A,#N/A,FALSE,"Cash Flows";#N/A,#N/A,FALSE,"Fixed Assets";#N/A,#N/A,FALSE,"Balance Sheet";#N/A,#N/A,FALSE,"P &amp; L"}</definedName>
    <definedName name="xyz3" localSheetId="8" hidden="1">{#N/A,#N/A,FALSE,"Cash Flows";#N/A,#N/A,FALSE,"Fixed Assets";#N/A,#N/A,FALSE,"Balance Sheet";#N/A,#N/A,FALSE,"P &amp; L"}</definedName>
    <definedName name="xyz3" hidden="1">{#N/A,#N/A,FALSE,"Cash Flows";#N/A,#N/A,FALSE,"Fixed Assets";#N/A,#N/A,FALSE,"Balance Sheet";#N/A,#N/A,FALSE,"P &amp; L"}</definedName>
    <definedName name="xyz30" localSheetId="3" hidden="1">{#N/A,#N/A,TRUE,"Summary";#N/A,#N/A,TRUE,"Balance Sheet";#N/A,#N/A,TRUE,"P &amp; L";#N/A,#N/A,TRUE,"Fixed Assets";#N/A,#N/A,TRUE,"Cash Flows"}</definedName>
    <definedName name="xyz30" localSheetId="7" hidden="1">{#N/A,#N/A,TRUE,"Summary";#N/A,#N/A,TRUE,"Balance Sheet";#N/A,#N/A,TRUE,"P &amp; L";#N/A,#N/A,TRUE,"Fixed Assets";#N/A,#N/A,TRUE,"Cash Flows"}</definedName>
    <definedName name="xyz30" localSheetId="4" hidden="1">{#N/A,#N/A,TRUE,"Summary";#N/A,#N/A,TRUE,"Balance Sheet";#N/A,#N/A,TRUE,"P &amp; L";#N/A,#N/A,TRUE,"Fixed Assets";#N/A,#N/A,TRUE,"Cash Flows"}</definedName>
    <definedName name="xyz30" localSheetId="5" hidden="1">{#N/A,#N/A,TRUE,"Summary";#N/A,#N/A,TRUE,"Balance Sheet";#N/A,#N/A,TRUE,"P &amp; L";#N/A,#N/A,TRUE,"Fixed Assets";#N/A,#N/A,TRUE,"Cash Flows"}</definedName>
    <definedName name="xyz30" localSheetId="2" hidden="1">{#N/A,#N/A,TRUE,"Summary";#N/A,#N/A,TRUE,"Balance Sheet";#N/A,#N/A,TRUE,"P &amp; L";#N/A,#N/A,TRUE,"Fixed Assets";#N/A,#N/A,TRUE,"Cash Flows"}</definedName>
    <definedName name="xyz30" localSheetId="0" hidden="1">{#N/A,#N/A,TRUE,"Summary";#N/A,#N/A,TRUE,"Balance Sheet";#N/A,#N/A,TRUE,"P &amp; L";#N/A,#N/A,TRUE,"Fixed Assets";#N/A,#N/A,TRUE,"Cash Flows"}</definedName>
    <definedName name="xyz30" localSheetId="8" hidden="1">{#N/A,#N/A,TRUE,"Summary";#N/A,#N/A,TRUE,"Balance Sheet";#N/A,#N/A,TRUE,"P &amp; L";#N/A,#N/A,TRUE,"Fixed Assets";#N/A,#N/A,TRUE,"Cash Flows"}</definedName>
    <definedName name="xyz30" hidden="1">{#N/A,#N/A,TRUE,"Summary";#N/A,#N/A,TRUE,"Balance Sheet";#N/A,#N/A,TRUE,"P &amp; L";#N/A,#N/A,TRUE,"Fixed Assets";#N/A,#N/A,TRUE,"Cash Flows"}</definedName>
    <definedName name="xyz4" localSheetId="3" hidden="1">{#N/A,#N/A,FALSE,"Cash Flows";#N/A,#N/A,FALSE,"Fixed Assets";#N/A,#N/A,FALSE,"Balance Sheet";#N/A,#N/A,FALSE,"P &amp; L"}</definedName>
    <definedName name="xyz4" localSheetId="7" hidden="1">{#N/A,#N/A,FALSE,"Cash Flows";#N/A,#N/A,FALSE,"Fixed Assets";#N/A,#N/A,FALSE,"Balance Sheet";#N/A,#N/A,FALSE,"P &amp; L"}</definedName>
    <definedName name="xyz4" localSheetId="4" hidden="1">{#N/A,#N/A,FALSE,"Cash Flows";#N/A,#N/A,FALSE,"Fixed Assets";#N/A,#N/A,FALSE,"Balance Sheet";#N/A,#N/A,FALSE,"P &amp; L"}</definedName>
    <definedName name="xyz4" localSheetId="5" hidden="1">{#N/A,#N/A,FALSE,"Cash Flows";#N/A,#N/A,FALSE,"Fixed Assets";#N/A,#N/A,FALSE,"Balance Sheet";#N/A,#N/A,FALSE,"P &amp; L"}</definedName>
    <definedName name="xyz4" localSheetId="2" hidden="1">{#N/A,#N/A,FALSE,"Cash Flows";#N/A,#N/A,FALSE,"Fixed Assets";#N/A,#N/A,FALSE,"Balance Sheet";#N/A,#N/A,FALSE,"P &amp; L"}</definedName>
    <definedName name="xyz4" localSheetId="0" hidden="1">{#N/A,#N/A,FALSE,"Cash Flows";#N/A,#N/A,FALSE,"Fixed Assets";#N/A,#N/A,FALSE,"Balance Sheet";#N/A,#N/A,FALSE,"P &amp; L"}</definedName>
    <definedName name="xyz4" localSheetId="8" hidden="1">{#N/A,#N/A,FALSE,"Cash Flows";#N/A,#N/A,FALSE,"Fixed Assets";#N/A,#N/A,FALSE,"Balance Sheet";#N/A,#N/A,FALSE,"P &amp; L"}</definedName>
    <definedName name="xyz4" hidden="1">{#N/A,#N/A,FALSE,"Cash Flows";#N/A,#N/A,FALSE,"Fixed Assets";#N/A,#N/A,FALSE,"Balance Sheet";#N/A,#N/A,FALSE,"P &amp; L"}</definedName>
    <definedName name="xyz5" localSheetId="3" hidden="1">{#N/A,#N/A,FALSE,"Cash Flows";#N/A,#N/A,FALSE,"Fixed Assets";#N/A,#N/A,FALSE,"Balance Sheet";#N/A,#N/A,FALSE,"P &amp; L"}</definedName>
    <definedName name="xyz5" localSheetId="7" hidden="1">{#N/A,#N/A,FALSE,"Cash Flows";#N/A,#N/A,FALSE,"Fixed Assets";#N/A,#N/A,FALSE,"Balance Sheet";#N/A,#N/A,FALSE,"P &amp; L"}</definedName>
    <definedName name="xyz5" localSheetId="4" hidden="1">{#N/A,#N/A,FALSE,"Cash Flows";#N/A,#N/A,FALSE,"Fixed Assets";#N/A,#N/A,FALSE,"Balance Sheet";#N/A,#N/A,FALSE,"P &amp; L"}</definedName>
    <definedName name="xyz5" localSheetId="5" hidden="1">{#N/A,#N/A,FALSE,"Cash Flows";#N/A,#N/A,FALSE,"Fixed Assets";#N/A,#N/A,FALSE,"Balance Sheet";#N/A,#N/A,FALSE,"P &amp; L"}</definedName>
    <definedName name="xyz5" localSheetId="2" hidden="1">{#N/A,#N/A,FALSE,"Cash Flows";#N/A,#N/A,FALSE,"Fixed Assets";#N/A,#N/A,FALSE,"Balance Sheet";#N/A,#N/A,FALSE,"P &amp; L"}</definedName>
    <definedName name="xyz5" localSheetId="0" hidden="1">{#N/A,#N/A,FALSE,"Cash Flows";#N/A,#N/A,FALSE,"Fixed Assets";#N/A,#N/A,FALSE,"Balance Sheet";#N/A,#N/A,FALSE,"P &amp; L"}</definedName>
    <definedName name="xyz5" localSheetId="8" hidden="1">{#N/A,#N/A,FALSE,"Cash Flows";#N/A,#N/A,FALSE,"Fixed Assets";#N/A,#N/A,FALSE,"Balance Sheet";#N/A,#N/A,FALSE,"P &amp; L"}</definedName>
    <definedName name="xyz5" hidden="1">{#N/A,#N/A,FALSE,"Cash Flows";#N/A,#N/A,FALSE,"Fixed Assets";#N/A,#N/A,FALSE,"Balance Sheet";#N/A,#N/A,FALSE,"P &amp; L"}</definedName>
    <definedName name="xyz6" localSheetId="3" hidden="1">{#N/A,#N/A,FALSE,"Cash Flows";#N/A,#N/A,FALSE,"Fixed Assets";#N/A,#N/A,FALSE,"Balance Sheet";#N/A,#N/A,FALSE,"P &amp; L"}</definedName>
    <definedName name="xyz6" localSheetId="7" hidden="1">{#N/A,#N/A,FALSE,"Cash Flows";#N/A,#N/A,FALSE,"Fixed Assets";#N/A,#N/A,FALSE,"Balance Sheet";#N/A,#N/A,FALSE,"P &amp; L"}</definedName>
    <definedName name="xyz6" localSheetId="4" hidden="1">{#N/A,#N/A,FALSE,"Cash Flows";#N/A,#N/A,FALSE,"Fixed Assets";#N/A,#N/A,FALSE,"Balance Sheet";#N/A,#N/A,FALSE,"P &amp; L"}</definedName>
    <definedName name="xyz6" localSheetId="5" hidden="1">{#N/A,#N/A,FALSE,"Cash Flows";#N/A,#N/A,FALSE,"Fixed Assets";#N/A,#N/A,FALSE,"Balance Sheet";#N/A,#N/A,FALSE,"P &amp; L"}</definedName>
    <definedName name="xyz6" localSheetId="2" hidden="1">{#N/A,#N/A,FALSE,"Cash Flows";#N/A,#N/A,FALSE,"Fixed Assets";#N/A,#N/A,FALSE,"Balance Sheet";#N/A,#N/A,FALSE,"P &amp; L"}</definedName>
    <definedName name="xyz6" localSheetId="0" hidden="1">{#N/A,#N/A,FALSE,"Cash Flows";#N/A,#N/A,FALSE,"Fixed Assets";#N/A,#N/A,FALSE,"Balance Sheet";#N/A,#N/A,FALSE,"P &amp; L"}</definedName>
    <definedName name="xyz6" localSheetId="8" hidden="1">{#N/A,#N/A,FALSE,"Cash Flows";#N/A,#N/A,FALSE,"Fixed Assets";#N/A,#N/A,FALSE,"Balance Sheet";#N/A,#N/A,FALSE,"P &amp; L"}</definedName>
    <definedName name="xyz6" hidden="1">{#N/A,#N/A,FALSE,"Cash Flows";#N/A,#N/A,FALSE,"Fixed Assets";#N/A,#N/A,FALSE,"Balance Sheet";#N/A,#N/A,FALSE,"P &amp; L"}</definedName>
    <definedName name="xyz7" localSheetId="3" hidden="1">{#N/A,#N/A,FALSE,"Cash Flows";#N/A,#N/A,FALSE,"Fixed Assets";#N/A,#N/A,FALSE,"Balance Sheet";#N/A,#N/A,FALSE,"P &amp; L"}</definedName>
    <definedName name="xyz7" localSheetId="7" hidden="1">{#N/A,#N/A,FALSE,"Cash Flows";#N/A,#N/A,FALSE,"Fixed Assets";#N/A,#N/A,FALSE,"Balance Sheet";#N/A,#N/A,FALSE,"P &amp; L"}</definedName>
    <definedName name="xyz7" localSheetId="4" hidden="1">{#N/A,#N/A,FALSE,"Cash Flows";#N/A,#N/A,FALSE,"Fixed Assets";#N/A,#N/A,FALSE,"Balance Sheet";#N/A,#N/A,FALSE,"P &amp; L"}</definedName>
    <definedName name="xyz7" localSheetId="5" hidden="1">{#N/A,#N/A,FALSE,"Cash Flows";#N/A,#N/A,FALSE,"Fixed Assets";#N/A,#N/A,FALSE,"Balance Sheet";#N/A,#N/A,FALSE,"P &amp; L"}</definedName>
    <definedName name="xyz7" localSheetId="2" hidden="1">{#N/A,#N/A,FALSE,"Cash Flows";#N/A,#N/A,FALSE,"Fixed Assets";#N/A,#N/A,FALSE,"Balance Sheet";#N/A,#N/A,FALSE,"P &amp; L"}</definedName>
    <definedName name="xyz7" localSheetId="0" hidden="1">{#N/A,#N/A,FALSE,"Cash Flows";#N/A,#N/A,FALSE,"Fixed Assets";#N/A,#N/A,FALSE,"Balance Sheet";#N/A,#N/A,FALSE,"P &amp; L"}</definedName>
    <definedName name="xyz7" localSheetId="8" hidden="1">{#N/A,#N/A,FALSE,"Cash Flows";#N/A,#N/A,FALSE,"Fixed Assets";#N/A,#N/A,FALSE,"Balance Sheet";#N/A,#N/A,FALSE,"P &amp; L"}</definedName>
    <definedName name="xyz7" hidden="1">{#N/A,#N/A,FALSE,"Cash Flows";#N/A,#N/A,FALSE,"Fixed Assets";#N/A,#N/A,FALSE,"Balance Sheet";#N/A,#N/A,FALSE,"P &amp; L"}</definedName>
    <definedName name="xyz8" localSheetId="3" hidden="1">{#N/A,#N/A,TRUE,"Summary";#N/A,#N/A,TRUE,"Balance Sheet";#N/A,#N/A,TRUE,"P &amp; L";#N/A,#N/A,TRUE,"Fixed Assets";#N/A,#N/A,TRUE,"Cash Flows"}</definedName>
    <definedName name="xyz8" localSheetId="7" hidden="1">{#N/A,#N/A,TRUE,"Summary";#N/A,#N/A,TRUE,"Balance Sheet";#N/A,#N/A,TRUE,"P &amp; L";#N/A,#N/A,TRUE,"Fixed Assets";#N/A,#N/A,TRUE,"Cash Flows"}</definedName>
    <definedName name="xyz8" localSheetId="4" hidden="1">{#N/A,#N/A,TRUE,"Summary";#N/A,#N/A,TRUE,"Balance Sheet";#N/A,#N/A,TRUE,"P &amp; L";#N/A,#N/A,TRUE,"Fixed Assets";#N/A,#N/A,TRUE,"Cash Flows"}</definedName>
    <definedName name="xyz8" localSheetId="5" hidden="1">{#N/A,#N/A,TRUE,"Summary";#N/A,#N/A,TRUE,"Balance Sheet";#N/A,#N/A,TRUE,"P &amp; L";#N/A,#N/A,TRUE,"Fixed Assets";#N/A,#N/A,TRUE,"Cash Flows"}</definedName>
    <definedName name="xyz8" localSheetId="2" hidden="1">{#N/A,#N/A,TRUE,"Summary";#N/A,#N/A,TRUE,"Balance Sheet";#N/A,#N/A,TRUE,"P &amp; L";#N/A,#N/A,TRUE,"Fixed Assets";#N/A,#N/A,TRUE,"Cash Flows"}</definedName>
    <definedName name="xyz8" localSheetId="0" hidden="1">{#N/A,#N/A,TRUE,"Summary";#N/A,#N/A,TRUE,"Balance Sheet";#N/A,#N/A,TRUE,"P &amp; L";#N/A,#N/A,TRUE,"Fixed Assets";#N/A,#N/A,TRUE,"Cash Flows"}</definedName>
    <definedName name="xyz8" localSheetId="8" hidden="1">{#N/A,#N/A,TRUE,"Summary";#N/A,#N/A,TRUE,"Balance Sheet";#N/A,#N/A,TRUE,"P &amp; L";#N/A,#N/A,TRUE,"Fixed Assets";#N/A,#N/A,TRUE,"Cash Flows"}</definedName>
    <definedName name="xyz8" hidden="1">{#N/A,#N/A,TRUE,"Summary";#N/A,#N/A,TRUE,"Balance Sheet";#N/A,#N/A,TRUE,"P &amp; L";#N/A,#N/A,TRUE,"Fixed Assets";#N/A,#N/A,TRUE,"Cash Flows"}</definedName>
    <definedName name="xyz9" localSheetId="3" hidden="1">{#N/A,#N/A,FALSE,"Cash Flows";#N/A,#N/A,FALSE,"Fixed Assets";#N/A,#N/A,FALSE,"Balance Sheet";#N/A,#N/A,FALSE,"P &amp; L"}</definedName>
    <definedName name="xyz9" localSheetId="7" hidden="1">{#N/A,#N/A,FALSE,"Cash Flows";#N/A,#N/A,FALSE,"Fixed Assets";#N/A,#N/A,FALSE,"Balance Sheet";#N/A,#N/A,FALSE,"P &amp; L"}</definedName>
    <definedName name="xyz9" localSheetId="4" hidden="1">{#N/A,#N/A,FALSE,"Cash Flows";#N/A,#N/A,FALSE,"Fixed Assets";#N/A,#N/A,FALSE,"Balance Sheet";#N/A,#N/A,FALSE,"P &amp; L"}</definedName>
    <definedName name="xyz9" localSheetId="5" hidden="1">{#N/A,#N/A,FALSE,"Cash Flows";#N/A,#N/A,FALSE,"Fixed Assets";#N/A,#N/A,FALSE,"Balance Sheet";#N/A,#N/A,FALSE,"P &amp; L"}</definedName>
    <definedName name="xyz9" localSheetId="2" hidden="1">{#N/A,#N/A,FALSE,"Cash Flows";#N/A,#N/A,FALSE,"Fixed Assets";#N/A,#N/A,FALSE,"Balance Sheet";#N/A,#N/A,FALSE,"P &amp; L"}</definedName>
    <definedName name="xyz9" localSheetId="0" hidden="1">{#N/A,#N/A,FALSE,"Cash Flows";#N/A,#N/A,FALSE,"Fixed Assets";#N/A,#N/A,FALSE,"Balance Sheet";#N/A,#N/A,FALSE,"P &amp; L"}</definedName>
    <definedName name="xyz9" localSheetId="8" hidden="1">{#N/A,#N/A,FALSE,"Cash Flows";#N/A,#N/A,FALSE,"Fixed Assets";#N/A,#N/A,FALSE,"Balance Sheet";#N/A,#N/A,FALSE,"P &amp; L"}</definedName>
    <definedName name="xyz9" hidden="1">{#N/A,#N/A,FALSE,"Cash Flows";#N/A,#N/A,FALSE,"Fixed Assets";#N/A,#N/A,FALSE,"Balance Sheet";#N/A,#N/A,FALSE,"P &amp; L"}</definedName>
    <definedName name="X행">"$#REF!.$V$33:$AC$33"</definedName>
    <definedName name="YY">NA()</definedName>
    <definedName name="Z_26F1B120_222F_11D7_91EB_0050BA7F1DA7_.wvu.FilterData" localSheetId="7" hidden="1">#REF!</definedName>
    <definedName name="Z_26F1B120_222F_11D7_91EB_0050BA7F1DA7_.wvu.FilterData" localSheetId="0" hidden="1">#REF!</definedName>
    <definedName name="Z_26F1B120_222F_11D7_91EB_0050BA7F1DA7_.wvu.FilterData" hidden="1">#REF!</definedName>
    <definedName name="Zone_impres_MI" localSheetId="7">'[8]LDP 50'!#REF!</definedName>
    <definedName name="Zone_impres_MI" localSheetId="0">'[8]LDP 50'!#REF!</definedName>
    <definedName name="Zone_impres_MI">'[8]LDP 50'!#REF!</definedName>
    <definedName name="기아">"$#REF!.$B$2:$L$410"</definedName>
    <definedName name="기안갑">"$#REF!.$#REF!$#REF!"</definedName>
    <definedName name="기안을">"$#REF!.$#REF!$#REF!"</definedName>
    <definedName name="나라">NA()</definedName>
    <definedName name="납품보고">NA()</definedName>
    <definedName name="대림PL">NA()</definedName>
    <definedName name="대일정">NA()</definedName>
    <definedName name="대회">"$#REF!.$A$15:$U$33"</definedName>
    <definedName name="ㄹㄹ">NA()</definedName>
    <definedName name="ㄹㅇㄹㄴㅇ">NA()</definedName>
    <definedName name="ㅁddd">NA()</definedName>
    <definedName name="ㅁㅁㅁ">NA()</definedName>
    <definedName name="ㅁㅊ">NA()</definedName>
    <definedName name="매크로10">NA()</definedName>
    <definedName name="매크로11">NA()</definedName>
    <definedName name="매크로12">NA()</definedName>
    <definedName name="매크로13">NA()</definedName>
    <definedName name="매크로5">NA()</definedName>
    <definedName name="매크로8">NA()</definedName>
    <definedName name="매크로9">NA()</definedName>
    <definedName name="발">NA()</definedName>
    <definedName name="변경">"$#REF!.$#REF!$#REF!"</definedName>
    <definedName name="보고서1">NA()</definedName>
    <definedName name="부서">NA()</definedName>
    <definedName name="부서별예산">NA()</definedName>
    <definedName name="붕가붕가">NA()</definedName>
    <definedName name="비교A">NA()</definedName>
    <definedName name="ㅅㅅ">"$#REF!.$#REF!$#REF!"</definedName>
    <definedName name="업무">NA()</definedName>
    <definedName name="업무시행">NA()</definedName>
    <definedName name="업무지시">NA()</definedName>
    <definedName name="업체명">"$#REF!.$B$3:$B$299"</definedName>
    <definedName name="예산총괄시트설ONLY">NA()</definedName>
    <definedName name="이동">NA()</definedName>
    <definedName name="일괄인쇄">NA()</definedName>
    <definedName name="ㅈ">NA()</definedName>
    <definedName name="장종찬">NA()</definedName>
    <definedName name="전략구매">NA()</definedName>
    <definedName name="전장">NA()</definedName>
    <definedName name="제목">"$#REF!.$D$16"</definedName>
    <definedName name="조사">NA()</definedName>
    <definedName name="주소">"$#REF!.$E$4:$E$299"</definedName>
    <definedName name="주요업무실적">NA()</definedName>
    <definedName name="중기">NA()</definedName>
    <definedName name="차체">NA()</definedName>
    <definedName name="첨부1">NA()</definedName>
    <definedName name="퀛Y">NA()</definedName>
    <definedName name="특장">NA()</definedName>
    <definedName name="표지1">NA()</definedName>
    <definedName name="협전">NA()</definedName>
    <definedName name="확정하여_보고할것.">NA()</definedName>
    <definedName name="회의">NA()</definedName>
    <definedName name="회의록">NA()</definedName>
    <definedName name="회의자료">NA()</definedName>
    <definedName name="흵____R3_t">NA()</definedName>
    <definedName name="ㅕㅕ">"$#REF!.$#REF!$#REF!"</definedName>
    <definedName name="ㅗ허ㅏ">NA()</definedName>
    <definedName name="右" localSheetId="7">#REF!</definedName>
    <definedName name="右" localSheetId="0">#REF!</definedName>
    <definedName name="右">#REF!</definedName>
    <definedName name="單位阡원_阡_">NA()</definedName>
    <definedName name="小">NA()</definedName>
    <definedName name="左" localSheetId="7">#REF!</definedName>
    <definedName name="左" localSheetId="0">#REF!</definedName>
    <definedName name="左">#REF!</definedName>
    <definedName name="解_任_">NA()</definedName>
    <definedName name="金額">NA()</definedName>
  </definedNames>
  <calcPr calcId="124519"/>
</workbook>
</file>

<file path=xl/calcChain.xml><?xml version="1.0" encoding="utf-8"?>
<calcChain xmlns="http://schemas.openxmlformats.org/spreadsheetml/2006/main">
  <c r="R30" i="10"/>
  <c r="U30" s="1"/>
  <c r="N30"/>
  <c r="U29"/>
  <c r="N29"/>
  <c r="U28"/>
  <c r="N28"/>
  <c r="M28"/>
  <c r="U15"/>
  <c r="N15"/>
  <c r="U14"/>
  <c r="N14"/>
  <c r="N13"/>
  <c r="O75" l="1"/>
  <c r="O74"/>
  <c r="O73"/>
  <c r="Q36" i="15" l="1"/>
  <c r="I21"/>
  <c r="D20"/>
  <c r="I19"/>
  <c r="Q18"/>
  <c r="M18"/>
  <c r="AC31" s="1"/>
  <c r="K18"/>
  <c r="J18"/>
  <c r="I18"/>
  <c r="H18"/>
  <c r="G18"/>
  <c r="F18"/>
  <c r="E18"/>
  <c r="D18"/>
  <c r="C18"/>
  <c r="B18"/>
  <c r="Q17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M16" s="1"/>
  <c r="D21" s="1"/>
  <c r="K15"/>
  <c r="J15"/>
  <c r="I15"/>
  <c r="H15"/>
  <c r="G15"/>
  <c r="F15"/>
  <c r="E15"/>
  <c r="D15"/>
  <c r="C15"/>
  <c r="B15"/>
  <c r="O60" i="10"/>
  <c r="O59"/>
  <c r="O58"/>
  <c r="O45"/>
  <c r="O44"/>
  <c r="O43"/>
  <c r="V101"/>
  <c r="O101"/>
  <c r="O88"/>
  <c r="M15" i="15" l="1"/>
  <c r="D19" s="1"/>
  <c r="I20" s="1"/>
  <c r="M17"/>
  <c r="AA30" s="1"/>
  <c r="Q37"/>
  <c r="W31"/>
  <c r="AB31"/>
  <c r="AA31"/>
  <c r="X31"/>
  <c r="Q15"/>
  <c r="O23"/>
  <c r="P22"/>
  <c r="N21"/>
  <c r="N19" s="1"/>
  <c r="Q38" s="1"/>
  <c r="C38" s="1"/>
  <c r="V31"/>
  <c r="Z31"/>
  <c r="AD31"/>
  <c r="U31"/>
  <c r="Y31"/>
  <c r="X30" l="1"/>
  <c r="AC30"/>
  <c r="Q34"/>
  <c r="W34" s="1"/>
  <c r="W30"/>
  <c r="Q33"/>
  <c r="AA33" s="1"/>
  <c r="AD30"/>
  <c r="V30"/>
  <c r="Q35"/>
  <c r="U35" s="1"/>
  <c r="Z30"/>
  <c r="Q32"/>
  <c r="AD32" s="1"/>
  <c r="Y30"/>
  <c r="U30"/>
  <c r="AB30"/>
  <c r="P23"/>
  <c r="P21"/>
  <c r="R22"/>
  <c r="O24"/>
  <c r="O22"/>
  <c r="AB34"/>
  <c r="Z34" l="1"/>
  <c r="V34"/>
  <c r="AA34"/>
  <c r="AC34"/>
  <c r="Y34"/>
  <c r="U34"/>
  <c r="X34"/>
  <c r="AD34"/>
  <c r="AB32"/>
  <c r="AA32"/>
  <c r="AC33"/>
  <c r="AA35"/>
  <c r="X32"/>
  <c r="W35"/>
  <c r="AC35"/>
  <c r="AB35"/>
  <c r="AD35"/>
  <c r="U32"/>
  <c r="V32"/>
  <c r="W33"/>
  <c r="U33"/>
  <c r="V33"/>
  <c r="W32"/>
  <c r="Z32"/>
  <c r="Y33"/>
  <c r="Z33"/>
  <c r="AB33"/>
  <c r="X35"/>
  <c r="Z35"/>
  <c r="Y35"/>
  <c r="V35"/>
  <c r="AD33"/>
  <c r="X33"/>
  <c r="AC32"/>
  <c r="Y32"/>
  <c r="P20"/>
  <c r="O21"/>
  <c r="R21"/>
  <c r="Q22" s="1"/>
  <c r="O25"/>
  <c r="R23"/>
  <c r="Q23" s="1"/>
  <c r="P24"/>
  <c r="P25" l="1"/>
  <c r="R24"/>
  <c r="Q24" s="1"/>
  <c r="O26"/>
  <c r="O20"/>
  <c r="R20"/>
  <c r="Q20" s="1"/>
  <c r="Q21" l="1"/>
  <c r="O27"/>
  <c r="R25"/>
  <c r="Q25" s="1"/>
  <c r="P26"/>
  <c r="R26" l="1"/>
  <c r="Q26" s="1"/>
  <c r="O28"/>
  <c r="P27"/>
  <c r="O29" l="1"/>
  <c r="P28"/>
  <c r="R27"/>
  <c r="Q27" s="1"/>
  <c r="R28" l="1"/>
  <c r="Q28" s="1"/>
  <c r="O30"/>
  <c r="P29"/>
  <c r="O31" l="1"/>
  <c r="R29"/>
  <c r="Q29" s="1"/>
  <c r="P30"/>
  <c r="P31" l="1"/>
  <c r="R31" s="1"/>
  <c r="R30"/>
  <c r="Q30" s="1"/>
  <c r="Q31" l="1"/>
</calcChain>
</file>

<file path=xl/sharedStrings.xml><?xml version="1.0" encoding="utf-8"?>
<sst xmlns="http://schemas.openxmlformats.org/spreadsheetml/2006/main" count="1821" uniqueCount="854">
  <si>
    <r>
      <t>Part No</t>
    </r>
    <r>
      <rPr>
        <b/>
        <sz val="14"/>
        <rFont val="Cambria"/>
        <family val="1"/>
      </rPr>
      <t xml:space="preserve">:- </t>
    </r>
  </si>
  <si>
    <r>
      <t>Part Name</t>
    </r>
    <r>
      <rPr>
        <b/>
        <sz val="14"/>
        <rFont val="Cambria"/>
        <family val="1"/>
      </rPr>
      <t>:-</t>
    </r>
  </si>
  <si>
    <t>SHARADA INDUSTRIES</t>
  </si>
  <si>
    <r>
      <t>Dwg. No</t>
    </r>
    <r>
      <rPr>
        <b/>
        <sz val="14"/>
        <rFont val="Cambria"/>
        <family val="1"/>
      </rPr>
      <t xml:space="preserve">:- </t>
    </r>
  </si>
  <si>
    <r>
      <t>Mod No. &amp; Date</t>
    </r>
    <r>
      <rPr>
        <b/>
        <sz val="14"/>
        <rFont val="Cambria"/>
        <family val="1"/>
      </rPr>
      <t>:-</t>
    </r>
  </si>
  <si>
    <r>
      <t>Document</t>
    </r>
    <r>
      <rPr>
        <b/>
        <sz val="14"/>
        <rFont val="Cambria"/>
        <family val="1"/>
      </rPr>
      <t>:-</t>
    </r>
  </si>
  <si>
    <t>PPAP (Production Part Approval Process)</t>
  </si>
  <si>
    <t>PPAP- REQUIREMENTS CHECKLIST</t>
  </si>
  <si>
    <t>Sr. No.</t>
  </si>
  <si>
    <t>REQUIREMENTS</t>
  </si>
  <si>
    <t>DOCUMENTS/REMARKS</t>
  </si>
  <si>
    <t>Approved Drawing</t>
  </si>
  <si>
    <t>Process Flow Diagram</t>
  </si>
  <si>
    <t>Process FMEA</t>
  </si>
  <si>
    <t>Process Control Plan</t>
  </si>
  <si>
    <t>Dim Report</t>
  </si>
  <si>
    <t>Process Cap (Cp Cpk)</t>
  </si>
  <si>
    <t>R&amp;R (MSA)</t>
  </si>
  <si>
    <t>Limit Sample List</t>
  </si>
  <si>
    <t>Limit Sample Validation</t>
  </si>
  <si>
    <t>Checking Aids (Gauges)</t>
  </si>
  <si>
    <t>Bulk Material Apprvl</t>
  </si>
  <si>
    <t>RM Source List</t>
  </si>
  <si>
    <t>Tier 2 Source list</t>
  </si>
  <si>
    <t>Tier 2 PSW</t>
  </si>
  <si>
    <t>Complaints (Q&amp;R)</t>
  </si>
  <si>
    <t>Visual Controls</t>
  </si>
  <si>
    <t>Work Instruction</t>
  </si>
  <si>
    <t>Quality Plan</t>
  </si>
  <si>
    <t>RM Test Rept</t>
  </si>
  <si>
    <t>ARAI Report</t>
  </si>
  <si>
    <t>Logistic Sheet (Sign Off)</t>
  </si>
  <si>
    <t>ERC Green Rept</t>
  </si>
  <si>
    <t>Aesthetic Approval</t>
  </si>
  <si>
    <t>Fitment Report</t>
  </si>
  <si>
    <t>Run @ Rate</t>
  </si>
  <si>
    <t>PSW (PPAP) Sign off</t>
  </si>
  <si>
    <t>MASTER SAMPLE ON INSPECTION FIXT./ TEMPLATE OF TOOL IDENTIFICATION</t>
  </si>
  <si>
    <t>FRQUENCY FOR TOOL MAINTANACE.</t>
  </si>
  <si>
    <t>SURFACE PROTECTION REPORT</t>
  </si>
  <si>
    <t>Reviewed by (Name):</t>
  </si>
  <si>
    <t>Reviewed  by (Sign) :</t>
  </si>
  <si>
    <t>Sharada Industries                                                                                                                                                  W-199 B 'S' Block MIDC Bhosari, Pune 411 026</t>
  </si>
  <si>
    <t>PROCESS FLOW DIAGRAM</t>
  </si>
  <si>
    <t>Format No. : F-DVP-6</t>
  </si>
  <si>
    <t>Rev. No. : 2</t>
  </si>
  <si>
    <t>Rev. Date: 01/06/06</t>
  </si>
  <si>
    <t xml:space="preserve">Assy Part Name : </t>
  </si>
  <si>
    <t>Mod :-</t>
  </si>
  <si>
    <t>Department.:-DEVELOPMENT</t>
  </si>
  <si>
    <t xml:space="preserve"> Assy Part No.   :</t>
  </si>
  <si>
    <t>Mod. Date:</t>
  </si>
  <si>
    <t>Process Sheet No.:-</t>
  </si>
  <si>
    <t xml:space="preserve">Process Sheet Date.:- </t>
  </si>
  <si>
    <t>Sub Part No. / Part Name:</t>
  </si>
  <si>
    <t>---</t>
  </si>
  <si>
    <t>Rev. No./ Rev. Date:</t>
  </si>
  <si>
    <t>Operation No /  Brief Desc.</t>
  </si>
  <si>
    <t>Incoming Sources of Variations</t>
  </si>
  <si>
    <t>Product Characteristics                   (Desired Outcome)</t>
  </si>
  <si>
    <t>Process Characteristics</t>
  </si>
  <si>
    <t>010. MATERIAL RECEIPT.</t>
  </si>
  <si>
    <t>01. Damaged or rusty material.</t>
  </si>
  <si>
    <t>All specifications as per drawing</t>
  </si>
  <si>
    <t>01. Supplier PDI report.</t>
  </si>
  <si>
    <t>SHARADA INDUSTRIES  ,             UNIT-II</t>
  </si>
  <si>
    <t xml:space="preserve">1.Hole Burrs     </t>
  </si>
  <si>
    <t>01.Low Strength Weld Joints.</t>
  </si>
  <si>
    <t xml:space="preserve">2.Oily &amp; rusty component.  </t>
  </si>
  <si>
    <t>02.Poor Asthetics.</t>
  </si>
  <si>
    <t>03. Assembly problem</t>
  </si>
  <si>
    <t>01. All specifications as per the drawings.</t>
  </si>
  <si>
    <t>02. Part not as per drawing.</t>
  </si>
  <si>
    <t>01. Rust on Parts.</t>
  </si>
  <si>
    <t>01. Free from rust, burr, scoring.</t>
  </si>
  <si>
    <t>02. Material damaged in previous operations due to handling.</t>
  </si>
  <si>
    <t>02. Part should be free from dents, damage.</t>
  </si>
  <si>
    <t xml:space="preserve">                      TRANSPORT</t>
  </si>
  <si>
    <t xml:space="preserve">                          INSPECTION                    </t>
  </si>
  <si>
    <t xml:space="preserve">         PROCESS</t>
  </si>
  <si>
    <t>PROCESS CUM INSP.</t>
  </si>
  <si>
    <t>STORAGE</t>
  </si>
  <si>
    <t>010. R. M. RECEPT.</t>
  </si>
  <si>
    <t>1. Incorrect grade</t>
  </si>
  <si>
    <t>Suppliers T.C.</t>
  </si>
  <si>
    <t>2. Transit damage</t>
  </si>
  <si>
    <t>2. Length 2500</t>
  </si>
  <si>
    <t>3. Width 1250</t>
  </si>
  <si>
    <t>4. Rusty material</t>
  </si>
  <si>
    <t xml:space="preserve">5. No Improper Surface condition </t>
  </si>
  <si>
    <t>5. Pitted material</t>
  </si>
  <si>
    <t>1. Stopper condition</t>
  </si>
  <si>
    <t>or more</t>
  </si>
  <si>
    <t>2. Burr, dent marks</t>
  </si>
  <si>
    <t>&amp; cuts on edges</t>
  </si>
  <si>
    <t>1. Stopper condition.</t>
  </si>
  <si>
    <t>2. Tool condition &amp; setting.</t>
  </si>
  <si>
    <t>1. Improper blank size</t>
  </si>
  <si>
    <t>As Per PCP</t>
  </si>
  <si>
    <t>2. Burr</t>
  </si>
  <si>
    <t>Free from Wrinkles &amp; Crack.</t>
  </si>
  <si>
    <t>3. Crack</t>
  </si>
  <si>
    <t>3. Stroke setting.</t>
  </si>
  <si>
    <t>Sharada Industries. W-199B, S Block, MIDC, Bhosari Pune - 411 026</t>
  </si>
  <si>
    <t>POTENTIAL FAILURE MODE AND EFFECT ANALYSIS (PROCESS FMEA)</t>
  </si>
  <si>
    <t>Format No. : F-DVP-8</t>
  </si>
  <si>
    <t>Rev. No. : 02</t>
  </si>
  <si>
    <t>Rev. Date: 2/01/13</t>
  </si>
  <si>
    <t>ASSY NAME:</t>
  </si>
  <si>
    <t>ASSY NO:</t>
  </si>
  <si>
    <t>FMEA NUMBER:</t>
  </si>
  <si>
    <t xml:space="preserve">SUB PART  NAME: </t>
  </si>
  <si>
    <t>FMEA DATE:</t>
  </si>
  <si>
    <t>SUB PART NO:</t>
  </si>
  <si>
    <t>KEY DATE:</t>
  </si>
  <si>
    <t>--</t>
  </si>
  <si>
    <t>MODEL YEAR /VEHICLE(S):</t>
  </si>
  <si>
    <t>MOD.STATUS / NO:</t>
  </si>
  <si>
    <t>REV . NO:</t>
  </si>
  <si>
    <t>00</t>
  </si>
  <si>
    <t>REV DATE:</t>
  </si>
  <si>
    <t xml:space="preserve">CORE TEAM: </t>
  </si>
  <si>
    <t>PROCESS RESPOSIBLITY :</t>
  </si>
  <si>
    <t>Mrs.Kanchan Pant</t>
  </si>
  <si>
    <t>PAGE:</t>
  </si>
  <si>
    <t>01</t>
  </si>
  <si>
    <t>OP.NO.</t>
  </si>
  <si>
    <t>PROCESS FUNCTION</t>
  </si>
  <si>
    <t>POTENTIAL FAILURE MODE</t>
  </si>
  <si>
    <t>POTENTIAL EFFECT(s) OF FAILURE.                         1. END USER                                 2. MFG./ASSEMBLY              3. SAFETY</t>
  </si>
  <si>
    <t>SEVERITY</t>
  </si>
  <si>
    <t>CLASS</t>
  </si>
  <si>
    <t>POTENTIAL CAUSE(S) / MECHANISM(S) OF FAILURE MODE</t>
  </si>
  <si>
    <t>CURRENT PROCESS CONTROL PREVENTION</t>
  </si>
  <si>
    <t>OCCURANCE</t>
  </si>
  <si>
    <t>CURRENT PROCESS CONTROL DETECTION</t>
  </si>
  <si>
    <t>DETECTION</t>
  </si>
  <si>
    <t>SOD</t>
  </si>
  <si>
    <t>OD</t>
  </si>
  <si>
    <t>RPN</t>
  </si>
  <si>
    <t>RECOMMANDED ACTION(S)</t>
  </si>
  <si>
    <t>RESP.&amp; TARGET COMPLETITION DATE</t>
  </si>
  <si>
    <t>ACTION TAKEN</t>
  </si>
  <si>
    <t>010</t>
  </si>
  <si>
    <t>01. Cannot be used for next operation.</t>
  </si>
  <si>
    <t>Rejected lots mix up</t>
  </si>
  <si>
    <t>Rejected lots should not mix up with ok parts.</t>
  </si>
  <si>
    <t>Identification not done properly.</t>
  </si>
  <si>
    <t>Rejected lot to be kept in separate area.</t>
  </si>
  <si>
    <t>Checking of lot before despatch</t>
  </si>
  <si>
    <t>020</t>
  </si>
  <si>
    <t xml:space="preserve">Inprocess inspection </t>
  </si>
  <si>
    <t>…….</t>
  </si>
  <si>
    <t>….</t>
  </si>
  <si>
    <t xml:space="preserve">Poor quality of welding joint </t>
  </si>
  <si>
    <t>Poor weld strength Possibility of field failure.</t>
  </si>
  <si>
    <t xml:space="preserve"> Wrong welding consumables.</t>
  </si>
  <si>
    <t>Use of proper specification of welding consumables.</t>
  </si>
  <si>
    <t xml:space="preserve">Weld joint bend test once in  200 pieces produced </t>
  </si>
  <si>
    <t xml:space="preserve"> Use of specified welding consumable.</t>
  </si>
  <si>
    <t>Production Engg.</t>
  </si>
  <si>
    <t xml:space="preserve"> Operator evaluation test.</t>
  </si>
  <si>
    <t xml:space="preserve">Welding spatters </t>
  </si>
  <si>
    <t>1) Poor aesthetics
2) Assy Problem
3) improper flow of CO2 welding.</t>
  </si>
  <si>
    <t>1) Improper setting of Process parameter.
2) untrained operator</t>
  </si>
  <si>
    <t>First piece inspection &amp; inprocess inspection</t>
  </si>
  <si>
    <t xml:space="preserve">
1) Process Parameter sheet Display on M/C.
2)Work Instruction Display on M/C.</t>
  </si>
  <si>
    <t>Completed</t>
  </si>
  <si>
    <t>030</t>
  </si>
  <si>
    <t>INSPECTION</t>
  </si>
  <si>
    <t>To inspect parts as per SI/QP</t>
  </si>
  <si>
    <t>040</t>
  </si>
  <si>
    <t>Proper storage of parts to prevent rust accumulation and damage due to handling.</t>
  </si>
  <si>
    <t>Strenght of parts affected due to rust.</t>
  </si>
  <si>
    <t xml:space="preserve">1. Rejection at assy level.
</t>
  </si>
  <si>
    <t>Contact with air and moisture.</t>
  </si>
  <si>
    <t>100% application of RPO and parts to be covered with polythene sheets</t>
  </si>
  <si>
    <t>……..</t>
  </si>
  <si>
    <t>…..</t>
  </si>
  <si>
    <t>05</t>
  </si>
  <si>
    <t>……</t>
  </si>
  <si>
    <t>07</t>
  </si>
  <si>
    <t>08</t>
  </si>
  <si>
    <t>09</t>
  </si>
  <si>
    <t>PROCESS CONTROL PLAN</t>
  </si>
  <si>
    <t>Format No.: F-DVP-7</t>
  </si>
  <si>
    <t>Rev. No.: 0</t>
  </si>
  <si>
    <t>Rev. Date: 20/09/05</t>
  </si>
  <si>
    <t xml:space="preserve">   Prototype</t>
  </si>
  <si>
    <t xml:space="preserve">                      Pre-launch</t>
  </si>
  <si>
    <t>Production</t>
  </si>
  <si>
    <t>Key Contact / Phone:Mr P. V. Modak   2712 0962</t>
  </si>
  <si>
    <t>(Rev.No.):00</t>
  </si>
  <si>
    <t>Date (Rev.) : …..</t>
  </si>
  <si>
    <t xml:space="preserve">Customer Engineering </t>
  </si>
  <si>
    <t>Core Team : KAP/PVB/SSP/VSJ/VB/LS</t>
  </si>
  <si>
    <t>Approval/Date [ if reqd.]</t>
  </si>
  <si>
    <t xml:space="preserve"> --------</t>
  </si>
  <si>
    <t>Supplier / Plant Approval /</t>
  </si>
  <si>
    <t xml:space="preserve">Customer Quality </t>
  </si>
  <si>
    <t xml:space="preserve"> -------</t>
  </si>
  <si>
    <t xml:space="preserve">Supplier / Plant : </t>
  </si>
  <si>
    <t xml:space="preserve">Supplier Code :  </t>
  </si>
  <si>
    <t>Date                                          --------</t>
  </si>
  <si>
    <t>Approval / Date [ if reqd.]</t>
  </si>
  <si>
    <t>SHARADA INDUSTRIES.</t>
  </si>
  <si>
    <t>S-06220</t>
  </si>
  <si>
    <t>Other Approval / Date [ if reqd. ]      -----</t>
  </si>
  <si>
    <t>Other Approval / Date [ if reqd] -------</t>
  </si>
  <si>
    <t xml:space="preserve">Part / </t>
  </si>
  <si>
    <t>Process Name</t>
  </si>
  <si>
    <t>Machine</t>
  </si>
  <si>
    <t>Characteristic</t>
  </si>
  <si>
    <t>Special</t>
  </si>
  <si>
    <t>Product / Process 'Specification/   Tolerance</t>
  </si>
  <si>
    <t>Methods</t>
  </si>
  <si>
    <t>Error Proofing</t>
  </si>
  <si>
    <t>Reaction Plan</t>
  </si>
  <si>
    <t>Corrective Action</t>
  </si>
  <si>
    <t>Process</t>
  </si>
  <si>
    <t>Operation</t>
  </si>
  <si>
    <t>Device,</t>
  </si>
  <si>
    <t xml:space="preserve"> </t>
  </si>
  <si>
    <t>Product</t>
  </si>
  <si>
    <t>Char.</t>
  </si>
  <si>
    <t xml:space="preserve">Evaluation </t>
  </si>
  <si>
    <t>Sample</t>
  </si>
  <si>
    <t>Control</t>
  </si>
  <si>
    <t>Number</t>
  </si>
  <si>
    <t>Description</t>
  </si>
  <si>
    <t>Tool for Mfg.</t>
  </si>
  <si>
    <t>Class.</t>
  </si>
  <si>
    <t>Measurement Technique [L.C. ]</t>
  </si>
  <si>
    <t>Size</t>
  </si>
  <si>
    <t>Freq./ Quant.</t>
  </si>
  <si>
    <t>Method</t>
  </si>
  <si>
    <t>PP-010</t>
  </si>
  <si>
    <t>Sort / Reject</t>
  </si>
  <si>
    <t>Sort / Reject &amp; Sent back To Supplier</t>
  </si>
  <si>
    <t>Per Lot</t>
  </si>
  <si>
    <t>In-Process Inspection</t>
  </si>
  <si>
    <t>Voltage</t>
  </si>
  <si>
    <t>PP-030</t>
  </si>
  <si>
    <t>MANUAL</t>
  </si>
  <si>
    <t>INSPECTION AS PER QUALITY PLAN.</t>
  </si>
  <si>
    <t>VISUAL</t>
  </si>
  <si>
    <t>LOT</t>
  </si>
  <si>
    <t>Final Inspection/ Layout frequency for Assy part should be once in year,as This is a Superactive part.</t>
  </si>
  <si>
    <t>100% application of RPO.100% handling in bins and trolleys.</t>
  </si>
  <si>
    <t xml:space="preserve">PARTS  WITHOUT RUST &amp; DENT </t>
  </si>
  <si>
    <t>INPROCESS INSPECTION.</t>
  </si>
  <si>
    <t>PER LOT application of RPO.!00% handling in bins and trolleys.</t>
  </si>
  <si>
    <t>SURFACE CONDITION</t>
  </si>
  <si>
    <t>PER LOT</t>
  </si>
  <si>
    <t>MATERIAL SPECIFICATION</t>
  </si>
  <si>
    <t>PP-020</t>
  </si>
  <si>
    <t>V.CALIPER</t>
  </si>
  <si>
    <t>PP-040</t>
  </si>
  <si>
    <t>DIMENSION</t>
  </si>
  <si>
    <t>PP-050</t>
  </si>
  <si>
    <t>H.GAUGE</t>
  </si>
  <si>
    <t xml:space="preserve">Sharada Industries                                            W-199 B 'S' Block MIDC Bhosari Pune 411 026                                                                                                                              </t>
  </si>
  <si>
    <t xml:space="preserve"> QUALITY PLAN</t>
  </si>
  <si>
    <t>Rev. No.:  '00</t>
  </si>
  <si>
    <t>Rev. Date : ……..</t>
  </si>
  <si>
    <t>SKETCH :</t>
  </si>
  <si>
    <t>SR.NO</t>
  </si>
  <si>
    <t>Parameters</t>
  </si>
  <si>
    <t>Specification</t>
  </si>
  <si>
    <t>Method Of
Inspection</t>
  </si>
  <si>
    <t>Sample
Size</t>
  </si>
  <si>
    <t>Frequency</t>
  </si>
  <si>
    <t>Remarks</t>
  </si>
  <si>
    <t>Dimensional</t>
  </si>
  <si>
    <t>THERE SHOULD NOT BE ANY SHARP BURR.</t>
  </si>
  <si>
    <t>EVERY LOT</t>
  </si>
  <si>
    <t>PART SHOULD BE RUST FREE.</t>
  </si>
  <si>
    <t>THERE SHOULD NOT BE CRACK</t>
  </si>
  <si>
    <t>PERFORMANCE</t>
  </si>
  <si>
    <t>NA</t>
  </si>
  <si>
    <t>MATERIAL CHECK</t>
  </si>
  <si>
    <t>AS PER   SI/RMQP/</t>
  </si>
  <si>
    <t>Format No.: F-DVP-17</t>
  </si>
  <si>
    <t>Rev. No.: 01</t>
  </si>
  <si>
    <t>PREPARED BY</t>
  </si>
  <si>
    <t>APPR. BY</t>
  </si>
  <si>
    <t>Rev. Date: 10/01/13</t>
  </si>
  <si>
    <t>01. Storage in improper conditions and improper place.</t>
  </si>
  <si>
    <t>01. Material to be packed as per packing standards and logistic sheet.</t>
  </si>
  <si>
    <t>01. Manually.</t>
  </si>
  <si>
    <t xml:space="preserve">DISPATCH. SHARADA INDUSTRIES , UNIT-I
</t>
  </si>
  <si>
    <t>02. Packing may get opened up.</t>
  </si>
  <si>
    <t>3. Dimensions as Per P.O.</t>
  </si>
  <si>
    <t>PACKING  &amp; DESPATCH</t>
  </si>
  <si>
    <t>Proper packing of parts as per logistic sheet and packing standards.</t>
  </si>
  <si>
    <t>Not as per standards.</t>
  </si>
  <si>
    <t>1) Part damage</t>
  </si>
  <si>
    <t>1) Not adhering to signed-off logistic sheet.
2) Errors in planned logistics.</t>
  </si>
  <si>
    <t>1) Operator to be trained to adhere to logistic sheet
2) Logistic sheet to be corrected and signed-off as per requirement.</t>
  </si>
  <si>
    <t>Every lot to be checked by dispatch person.</t>
  </si>
  <si>
    <t>Logistic sheet to be signed-off and adhered to.</t>
  </si>
  <si>
    <t>Despatch Inchr.</t>
  </si>
  <si>
    <t xml:space="preserve">1. Raw material grade Fe410 </t>
  </si>
  <si>
    <t>06</t>
  </si>
  <si>
    <t>Current</t>
  </si>
  <si>
    <t>Wire Brand</t>
  </si>
  <si>
    <t>Welding Parameters</t>
  </si>
  <si>
    <t>TACK WELD</t>
  </si>
  <si>
    <t xml:space="preserve">VISUAL  </t>
  </si>
  <si>
    <t>EACH LOT</t>
  </si>
  <si>
    <t>Welding Quality</t>
  </si>
  <si>
    <t>Free from spatters, Blow holes &amp; Porosity.</t>
  </si>
  <si>
    <t>as per production lot quantity</t>
  </si>
  <si>
    <t>1st Piece Inspection Record / In-process Inspection</t>
  </si>
  <si>
    <t>Sort / Reject &amp; Sent Back to Supplier</t>
  </si>
  <si>
    <t>Operator Training for Powder Coating</t>
  </si>
  <si>
    <t>Coating thickness</t>
  </si>
  <si>
    <t>DFT meter /  adhesive tape test</t>
  </si>
  <si>
    <t>Coating Quality</t>
  </si>
  <si>
    <t>Free of Coating Defects</t>
  </si>
  <si>
    <t>SHIFT</t>
  </si>
  <si>
    <t>Process monitoring Sheet</t>
  </si>
  <si>
    <t>PACKING &amp; DESPATCH</t>
  </si>
  <si>
    <t>To be packed as Per signed  logistic sheet and packing standards</t>
  </si>
  <si>
    <t>Refer logistic sheet</t>
  </si>
  <si>
    <t>Logistic sheet to be revisited if any errors and to be signed off by VD and SCM</t>
  </si>
  <si>
    <t>CD</t>
  </si>
  <si>
    <t>THERE SHOULD NOT BE ANY WELDING SPATTER</t>
  </si>
  <si>
    <t>3.Spatters in hole &amp; on component.</t>
  </si>
  <si>
    <t xml:space="preserve">050. STORAGE.
SHARADA INDUSTRIES ,          UNIT-II
</t>
  </si>
  <si>
    <t>To Obtain Required shape on Power Press M/c 250T</t>
  </si>
  <si>
    <t xml:space="preserve">HOLE ID </t>
  </si>
  <si>
    <t>HOLE ID (2 Nos)</t>
  </si>
  <si>
    <t xml:space="preserve">Ø  12.2                             </t>
  </si>
  <si>
    <t xml:space="preserve">Ø  11                           </t>
  </si>
  <si>
    <t>HOLE ID (4 Nos)</t>
  </si>
  <si>
    <t>ALL DIMENSIONS</t>
  </si>
  <si>
    <t>As per Inspection Fixture</t>
  </si>
  <si>
    <t>PART SUBMISSION WARRANT</t>
  </si>
  <si>
    <t xml:space="preserve">Part Name: </t>
  </si>
  <si>
    <t xml:space="preserve">Safety and or </t>
  </si>
  <si>
    <t xml:space="preserve">                </t>
  </si>
  <si>
    <t xml:space="preserve">Dated :  </t>
  </si>
  <si>
    <t>Additional Engineering Changes</t>
  </si>
  <si>
    <t>Shown on Drg. No.</t>
  </si>
  <si>
    <t>Checking Aid No.</t>
  </si>
  <si>
    <t xml:space="preserve">Dated  :   </t>
  </si>
  <si>
    <t xml:space="preserve">                        </t>
  </si>
  <si>
    <t xml:space="preserve">                                        </t>
  </si>
  <si>
    <t>SUPPLIER MANUFACTURING INFORMATION</t>
  </si>
  <si>
    <t>SUBMISSION INFORMATION</t>
  </si>
  <si>
    <t xml:space="preserve">Customer Name / Division:  </t>
  </si>
  <si>
    <t>Street Address:</t>
  </si>
  <si>
    <t xml:space="preserve">            </t>
  </si>
  <si>
    <t xml:space="preserve">                                                                       </t>
  </si>
  <si>
    <t xml:space="preserve">Buyer / Buyer Code :    </t>
  </si>
  <si>
    <t xml:space="preserve">Application  : </t>
  </si>
  <si>
    <t>State:</t>
  </si>
  <si>
    <t>MAHARASHTRA</t>
  </si>
  <si>
    <t>Note: Does this part contain any restricted or reportable substances</t>
  </si>
  <si>
    <t>Yes</t>
  </si>
  <si>
    <t xml:space="preserve"> Are plastic parts identified with appropriate ISO marking codes</t>
  </si>
  <si>
    <t>REASON FOR SUBMISSION</t>
  </si>
  <si>
    <t>Change to optional construction or material.</t>
  </si>
  <si>
    <t>Sub-supplier or material source change</t>
  </si>
  <si>
    <t>Change in Part Processing</t>
  </si>
  <si>
    <t>Parts produced at additional location</t>
  </si>
  <si>
    <t>Other-Please specify.</t>
  </si>
  <si>
    <t>REQUESTED SUBMISSION LEVEL (Check One)</t>
  </si>
  <si>
    <t>submitted to customer</t>
  </si>
  <si>
    <t>SUBMISSION RESULTS</t>
  </si>
  <si>
    <t xml:space="preserve">The results for        </t>
  </si>
  <si>
    <t xml:space="preserve">These results meet all drawing and specification requirements  </t>
  </si>
  <si>
    <t>Mold/ Cavity/Production Process</t>
  </si>
  <si>
    <t>DECLARATION</t>
  </si>
  <si>
    <t>EXPLANATION / COMMENTS:</t>
  </si>
  <si>
    <t>Title:</t>
  </si>
  <si>
    <t>COO</t>
  </si>
  <si>
    <t xml:space="preserve">Supplier Authorised Signature: </t>
  </si>
  <si>
    <t xml:space="preserve">Date :       </t>
  </si>
  <si>
    <t>FOR CUSTOMER USE ONLY (IF APPLICABLE)</t>
  </si>
  <si>
    <t xml:space="preserve">Approved       </t>
  </si>
  <si>
    <t>Approved</t>
  </si>
  <si>
    <t xml:space="preserve">         </t>
  </si>
  <si>
    <t>Waived</t>
  </si>
  <si>
    <t xml:space="preserve">Customer Name: </t>
  </si>
  <si>
    <t>Customer Signature:</t>
  </si>
  <si>
    <t xml:space="preserve"> Date:</t>
  </si>
  <si>
    <t xml:space="preserve">      </t>
  </si>
  <si>
    <t>Sharada Industries                                                                                                                                                  W-199 B 'S' Block MIDC Bhosari Pune 411 026</t>
  </si>
  <si>
    <t>Format No.: F-DVP-14</t>
  </si>
  <si>
    <t>Rev. Date: 25/09/11</t>
  </si>
  <si>
    <t xml:space="preserve">Engineering Drawing change Level:                </t>
  </si>
  <si>
    <t>Government Regulation       Yes                          No</t>
  </si>
  <si>
    <t xml:space="preserve">Purchase order No.: </t>
  </si>
  <si>
    <t xml:space="preserve">Weight (Kg) : </t>
  </si>
  <si>
    <t xml:space="preserve">Engineering Change Level :                      </t>
  </si>
  <si>
    <t>Supplier Name &amp; Supplier Code</t>
  </si>
  <si>
    <t xml:space="preserve">Dimensional   </t>
  </si>
  <si>
    <t xml:space="preserve"> Materials/Functional </t>
  </si>
  <si>
    <t xml:space="preserve"> Appearance </t>
  </si>
  <si>
    <t xml:space="preserve">SHARADA INDUSTRIES      </t>
  </si>
  <si>
    <t>TML ,PUNE</t>
  </si>
  <si>
    <t>W-199 S' Block MIDC Bhosari, Pune-26</t>
  </si>
  <si>
    <t>City:</t>
  </si>
  <si>
    <t>PUNE</t>
  </si>
  <si>
    <t>PIN</t>
  </si>
  <si>
    <t>No.</t>
  </si>
  <si>
    <t xml:space="preserve">             Initial Submission</t>
  </si>
  <si>
    <t xml:space="preserve">      Engineering Change(s)</t>
  </si>
  <si>
    <t xml:space="preserve">      Tooling: Transfer, Replacement, Refurbishment or additional        </t>
  </si>
  <si>
    <t xml:space="preserve">      Correction of discrepancy</t>
  </si>
  <si>
    <t xml:space="preserve">     Tooling Inactive &gt; that 1 year</t>
  </si>
  <si>
    <t xml:space="preserve">     Level 1 – Warrant Only (And for designated appearance items, an appearance approval report) </t>
  </si>
  <si>
    <t xml:space="preserve">     Level 2 – Warrant with product samples and limited supporting data submitted to customer.</t>
  </si>
  <si>
    <t xml:space="preserve">     Level 3 – Warrant with product samples and complete supporting data submitted to customer.</t>
  </si>
  <si>
    <t xml:space="preserve">     Level 4 – Warrant and other requirement as defined by customer.</t>
  </si>
  <si>
    <t xml:space="preserve">     Level 5 – Warrant with product samples and complete supporting data reviewed at supplier’s </t>
  </si>
  <si>
    <t>manufacturing location.</t>
  </si>
  <si>
    <t xml:space="preserve">Dimensional measurements        </t>
  </si>
  <si>
    <t xml:space="preserve">Material and functional tests             </t>
  </si>
  <si>
    <t xml:space="preserve">      Appearance criteria   </t>
  </si>
  <si>
    <t>statistical process package.</t>
  </si>
  <si>
    <t>yes</t>
  </si>
  <si>
    <t>no. (“If no”-Explain)</t>
  </si>
  <si>
    <t>Press and Fabrication</t>
  </si>
  <si>
    <t>I hereby affirm that the samples represented by this warrant are representative of our parts, have been made to</t>
  </si>
  <si>
    <t>the Production Part Approval Process manual 4th Edition Requirements. I further warrant these samples were</t>
  </si>
  <si>
    <t xml:space="preserve">Print Name:    </t>
  </si>
  <si>
    <t xml:space="preserve">Phone No.:.                </t>
  </si>
  <si>
    <t xml:space="preserve"> FAX No.: </t>
  </si>
  <si>
    <t xml:space="preserve">Part Warrant Disposition      </t>
  </si>
  <si>
    <t xml:space="preserve">Rejected                 </t>
  </si>
  <si>
    <t xml:space="preserve">Part Functional Approval           </t>
  </si>
  <si>
    <t>Other</t>
  </si>
  <si>
    <t>TML PUNE</t>
  </si>
  <si>
    <t>S</t>
  </si>
  <si>
    <t>ASSY AIR FILTER MTG BKT</t>
  </si>
  <si>
    <t>Part Number - 252709140196</t>
  </si>
  <si>
    <t>252709140196 / 01</t>
  </si>
  <si>
    <t>Q.P. NO :  252709140196/01</t>
  </si>
  <si>
    <t>Part Number  : 252709140196</t>
  </si>
  <si>
    <t>Part Name -ASSY AIR FILTER MTG BKT</t>
  </si>
  <si>
    <t>Part Name : ASSY AIR FILTER MTG BKT</t>
  </si>
  <si>
    <t>e/28/01/2013</t>
  </si>
  <si>
    <t>Mod No./Date : e/28/01/2013</t>
  </si>
  <si>
    <t>28/01/2013</t>
  </si>
  <si>
    <t>e</t>
  </si>
  <si>
    <t>Part No &amp; Rev : 252709140196/e/28/01/2013</t>
  </si>
  <si>
    <t>020. CO2 TACK WELDING</t>
  </si>
  <si>
    <t>01.Implement proper spatter shields for Holes.</t>
  </si>
  <si>
    <t>030. CO2 FULL WELDING</t>
  </si>
  <si>
    <t>To weld the child parts at tacked location.
SHARADA INDUSTRIES  ,             UNIT-II</t>
  </si>
  <si>
    <t>To weld the child parts at correct location on welding fixture.
SHARADA INDUSTRIES  ,             UNIT-II</t>
  </si>
  <si>
    <t>01. Coating Parameters</t>
  </si>
  <si>
    <t>02. Use of proper protection for the regions which are not to be coated.</t>
  </si>
  <si>
    <t>03. Soaking time, curing time, temp. etc. based on process.</t>
  </si>
  <si>
    <t>ITEM NO 1 (BACK PLATE)</t>
  </si>
  <si>
    <t>252709140196 / 02</t>
  </si>
  <si>
    <t>1. Width of strip less</t>
  </si>
  <si>
    <t>To Obtain Required Blank</t>
  </si>
  <si>
    <t>or more.</t>
  </si>
  <si>
    <t>3. Shut height setting.</t>
  </si>
  <si>
    <t>4.As per Master template.</t>
  </si>
  <si>
    <t>on Power Press M/C 200T</t>
  </si>
  <si>
    <t>Plate 4 THK Fe410 SS:4013A</t>
  </si>
  <si>
    <t>4. Thickness 4</t>
  </si>
  <si>
    <t>1. Length 172</t>
  </si>
  <si>
    <t>2.Width 161</t>
  </si>
  <si>
    <t>3.THK 4</t>
  </si>
  <si>
    <t>Blank Not ok.</t>
  </si>
  <si>
    <t>Burr.</t>
  </si>
  <si>
    <t>2. Free from Burr on Cut Edge.</t>
  </si>
  <si>
    <t>2. Tool condition &amp; setting</t>
  </si>
  <si>
    <t>3. Stroke setting</t>
  </si>
  <si>
    <t>To Obtain Required Hole on Power Press M/c 150T</t>
  </si>
  <si>
    <t>252709140196 / 03</t>
  </si>
  <si>
    <t>ITEM NO 2 (MOUNTING PLATE)</t>
  </si>
  <si>
    <t>ITEM NO 3 (SUPPORT PLATE)</t>
  </si>
  <si>
    <t>1. Length 235</t>
  </si>
  <si>
    <t>1. Length 420</t>
  </si>
  <si>
    <t>2.Width 54</t>
  </si>
  <si>
    <t>on Power Press M/C 250T</t>
  </si>
  <si>
    <t>on Power Press M/C 350T</t>
  </si>
  <si>
    <t>252709140196 / 05</t>
  </si>
  <si>
    <t>252709140196 / 04</t>
  </si>
  <si>
    <t>ITEM NO 4 (RIB)</t>
  </si>
  <si>
    <t>on Power Press M/C 50T</t>
  </si>
  <si>
    <t>2.Width 20</t>
  </si>
  <si>
    <t>1. Length 30</t>
  </si>
  <si>
    <t>252709140196 / 06</t>
  </si>
  <si>
    <t>ITEM NO 5 (SQUARE TUBE)</t>
  </si>
  <si>
    <t>SQ. TUBE 25X25X2.6
HF YSt 310 IS:4923</t>
  </si>
  <si>
    <t>2. Length 6000</t>
  </si>
  <si>
    <t>3. Section 25 X 25</t>
  </si>
  <si>
    <t>4. Thickness 2.6</t>
  </si>
  <si>
    <t>1. Raw material grade YSt 310</t>
  </si>
  <si>
    <t>020. CUTTING</t>
  </si>
  <si>
    <t>1. Length of Tube less</t>
  </si>
  <si>
    <t>2. Burr, &amp; cuts on edges</t>
  </si>
  <si>
    <t>Length : 730</t>
  </si>
  <si>
    <t>Section 25 X 25</t>
  </si>
  <si>
    <t>Thickness 2.6</t>
  </si>
  <si>
    <t>Tube should be free from burr.</t>
  </si>
  <si>
    <t>Tube to required length</t>
  </si>
  <si>
    <t>on Band Saw M/C.</t>
  </si>
  <si>
    <t>AJINKYA STEELCON INDUSTRIES.</t>
  </si>
  <si>
    <t>030. CNC BENDING</t>
  </si>
  <si>
    <t xml:space="preserve">To bend the tube to required </t>
  </si>
  <si>
    <t>angle on CNC bending M/c.</t>
  </si>
  <si>
    <t>2. Dent marks, &amp; Damage</t>
  </si>
  <si>
    <t>Tube should be free from dent &amp; Damage.</t>
  </si>
  <si>
    <r>
      <t>Angle 90</t>
    </r>
    <r>
      <rPr>
        <sz val="10"/>
        <rFont val="Calibri"/>
        <family val="2"/>
      </rPr>
      <t>° +2°/0°</t>
    </r>
  </si>
  <si>
    <t>Radius R100 TYP</t>
  </si>
  <si>
    <t>2. Pulley condition.</t>
  </si>
  <si>
    <r>
      <t>040. INSPECTION.</t>
    </r>
    <r>
      <rPr>
        <sz val="9"/>
        <rFont val="Cambria"/>
        <family val="1"/>
      </rPr>
      <t xml:space="preserve">
</t>
    </r>
  </si>
  <si>
    <t>SHARADA INDUSTRIES ,                  UNIT-II</t>
  </si>
  <si>
    <r>
      <rPr>
        <b/>
        <sz val="10"/>
        <rFont val="Cambria"/>
        <family val="1"/>
      </rPr>
      <t xml:space="preserve">050. STORAGE.
</t>
    </r>
    <r>
      <rPr>
        <b/>
        <sz val="9"/>
        <rFont val="Cambria"/>
        <family val="1"/>
      </rPr>
      <t xml:space="preserve">SHARADA INDUSTRIES ,          UNIT-II
</t>
    </r>
  </si>
  <si>
    <t>1. Angle of Tube less</t>
  </si>
  <si>
    <t>252709140196 / 07</t>
  </si>
  <si>
    <t>ITEM NO 6 (SQUARE PLATE)</t>
  </si>
  <si>
    <t>Plate 2.5 THK Fe410 SS:4013A</t>
  </si>
  <si>
    <t>4. Thickness 2.5</t>
  </si>
  <si>
    <t>3.THK 2.5</t>
  </si>
  <si>
    <t>on Power Press M/C 75T</t>
  </si>
  <si>
    <t>KAP/PDA/SSP/HAI/ST/YM</t>
  </si>
  <si>
    <t>497 B S -III ENGINE</t>
  </si>
  <si>
    <t>136 ±1</t>
  </si>
  <si>
    <t xml:space="preserve">040. SHOT BLASTING  </t>
  </si>
  <si>
    <t xml:space="preserve">SHOT BLASTING </t>
  </si>
  <si>
    <t>01. Dent mark,Scratch, Part mix up.</t>
  </si>
  <si>
    <t>02. Welding not ok.</t>
  </si>
  <si>
    <t>01. Shot blasting surface finish</t>
  </si>
  <si>
    <t>02. Surface finish &amp; missing area of short blasting.</t>
  </si>
  <si>
    <t>AS Per Work Instructions of SB</t>
  </si>
  <si>
    <t>01. Shot Blasting Parameters</t>
  </si>
  <si>
    <t xml:space="preserve">050. SURFACE PROTECTION  </t>
  </si>
  <si>
    <t>CED Coating</t>
  </si>
  <si>
    <t>01. Shot Blasting not OK</t>
  </si>
  <si>
    <t>01. Coating as per SS 7265.</t>
  </si>
  <si>
    <t>02. Coating thickness = 20 microns (min.)</t>
  </si>
  <si>
    <t>1. CED Coating Parameters</t>
  </si>
  <si>
    <t>AS Per Work Instructions of CED.</t>
  </si>
  <si>
    <t>060. POWDER COATING</t>
  </si>
  <si>
    <t>01.  CED not proper</t>
  </si>
  <si>
    <t>01.Pure Polyster as per SS:7651</t>
  </si>
  <si>
    <t>03. Less affected by environmental factors such as air or water.</t>
  </si>
  <si>
    <t xml:space="preserve">04. Coating only on the specified regions. </t>
  </si>
  <si>
    <t>02. Uniform coating thickness =                  Min. 50 μ</t>
  </si>
  <si>
    <t>AS Per Work Instructions of PC.</t>
  </si>
  <si>
    <r>
      <t>70. INSPECTION.</t>
    </r>
    <r>
      <rPr>
        <sz val="9"/>
        <rFont val="Cambria"/>
        <family val="1"/>
      </rPr>
      <t xml:space="preserve">
SHARADA INDUSTRIES ,              UNIT-II</t>
    </r>
  </si>
  <si>
    <t xml:space="preserve">80. STORAGE.
SHARADA INDUSTRIES , UNIT-II
</t>
  </si>
  <si>
    <t xml:space="preserve">90. PACKING &amp;  DISPATCH
</t>
  </si>
  <si>
    <t xml:space="preserve">CED  </t>
  </si>
  <si>
    <t>Coating agent</t>
  </si>
  <si>
    <t>Wrong Coating Agent Used.</t>
  </si>
  <si>
    <t>May Cause Rejections at Customer End.</t>
  </si>
  <si>
    <t>Lack of Work Instructionss.</t>
  </si>
  <si>
    <t>Operator Training / Visual Instructionss For Selection of Coating Grade.</t>
  </si>
  <si>
    <t>In-process Inspection / First Piece Inspection.</t>
  </si>
  <si>
    <t>Coating layer thickness</t>
  </si>
  <si>
    <t>Inadequate Coating Layer Thickness.</t>
  </si>
  <si>
    <t>Less Part Life / Susceptibility to Environmental Corrosion.</t>
  </si>
  <si>
    <t>Improper Setting of Painitng Parameters.</t>
  </si>
  <si>
    <t>Operator Training / For Adjusting The Correct Coating Parameters.</t>
  </si>
  <si>
    <t>In-process Inspection With DFT Meter.</t>
  </si>
  <si>
    <t>coating layer quality</t>
  </si>
  <si>
    <t>Coating Peeling Off / Less Life of Coating Layer.</t>
  </si>
  <si>
    <t>Insufficient Pre-Treatment of Jobs.</t>
  </si>
  <si>
    <t>Training The Operators For Pre-treatment of Jobs Properly.</t>
  </si>
  <si>
    <t>In-process Inspection.</t>
  </si>
  <si>
    <t xml:space="preserve"> SURFACE PROTECTION POWDER COATING </t>
  </si>
  <si>
    <t>060</t>
  </si>
  <si>
    <t>070</t>
  </si>
  <si>
    <t>Per day</t>
  </si>
  <si>
    <t>DFT</t>
  </si>
  <si>
    <t>20-30 Micron</t>
  </si>
  <si>
    <t>check As per test certificate</t>
  </si>
  <si>
    <t>rework / scrap</t>
  </si>
  <si>
    <t>Cross Cut Adhesion</t>
  </si>
  <si>
    <t>Passivation Set-up</t>
  </si>
  <si>
    <t>Powder coating Specification</t>
  </si>
  <si>
    <t>Black Epoxy</t>
  </si>
  <si>
    <t>SS: 7651</t>
  </si>
  <si>
    <t>Maintenance of Proper Coating Specifications</t>
  </si>
  <si>
    <t>Min. 50μ</t>
  </si>
  <si>
    <t>CED Set - up</t>
  </si>
  <si>
    <t>M.TAPE</t>
  </si>
  <si>
    <t>100 ±0.5</t>
  </si>
  <si>
    <t>91 ±0.5</t>
  </si>
  <si>
    <t>120 ±0.5</t>
  </si>
  <si>
    <t>165 ±0.5</t>
  </si>
  <si>
    <t>4.96 kg</t>
  </si>
  <si>
    <t>Mr. Keshav Avhad</t>
  </si>
  <si>
    <t>TATA MOTORS LTD</t>
  </si>
  <si>
    <t>FORM NO :PC60-F1573</t>
  </si>
  <si>
    <t>WELDING PROCESS QUALIFICATION ( WPS )</t>
  </si>
  <si>
    <t xml:space="preserve">DATE : </t>
  </si>
  <si>
    <t>REV N0 : 00</t>
  </si>
  <si>
    <t>SUPPLIER  :</t>
  </si>
  <si>
    <t>PAGE 1 OF 1</t>
  </si>
  <si>
    <t xml:space="preserve">Welding Proces :-   Metal Inert Gas </t>
  </si>
  <si>
    <t xml:space="preserve"> Machine/ Model:-</t>
  </si>
  <si>
    <t>(MIG/CO2)</t>
  </si>
  <si>
    <t>PQR  No.:-</t>
  </si>
  <si>
    <t>PQR / SI / 01</t>
  </si>
  <si>
    <r>
      <t xml:space="preserve">Type: -   </t>
    </r>
    <r>
      <rPr>
        <sz val="12"/>
        <rFont val="Arial"/>
        <family val="2"/>
      </rPr>
      <t xml:space="preserve"> Manual  </t>
    </r>
  </si>
  <si>
    <t xml:space="preserve">        Semi-Automatic</t>
  </si>
  <si>
    <t>Ref WPS No.:-</t>
  </si>
  <si>
    <t>WPS / 01</t>
  </si>
  <si>
    <t xml:space="preserve">Automatic    </t>
  </si>
  <si>
    <t>JOINT DESIGN USED</t>
  </si>
  <si>
    <t>POSITION</t>
  </si>
  <si>
    <r>
      <t>Type:-</t>
    </r>
    <r>
      <rPr>
        <sz val="12"/>
        <rFont val="Arial"/>
        <family val="2"/>
      </rPr>
      <t xml:space="preserve"> </t>
    </r>
  </si>
  <si>
    <t>LAP JOINT</t>
  </si>
  <si>
    <t>Position of welding : Flat</t>
  </si>
  <si>
    <t>Backing :      Yes           No</t>
  </si>
  <si>
    <t>Vertical Progression: Up           Down</t>
  </si>
  <si>
    <r>
      <t>Edge preparation :</t>
    </r>
    <r>
      <rPr>
        <sz val="12"/>
        <rFont val="Arial"/>
        <family val="2"/>
      </rPr>
      <t xml:space="preserve"> refer fig. Below</t>
    </r>
  </si>
  <si>
    <t>BASE METALS</t>
  </si>
  <si>
    <t>ELECTRICAL CHARACTERISTICS</t>
  </si>
  <si>
    <t xml:space="preserve">Material Spec.: </t>
  </si>
  <si>
    <t>Fe 410</t>
  </si>
  <si>
    <t>Transfer Mode:</t>
  </si>
  <si>
    <t>Short-Circuiting              Globular              Spray</t>
  </si>
  <si>
    <r>
      <t>Current:</t>
    </r>
    <r>
      <rPr>
        <sz val="12"/>
        <rFont val="Arial"/>
        <family val="2"/>
      </rPr>
      <t xml:space="preserve">  AC           DCEP           DCEN             </t>
    </r>
  </si>
  <si>
    <t xml:space="preserve">Thickness: </t>
  </si>
  <si>
    <t>FILLER METALS</t>
  </si>
  <si>
    <t>SHIELDING</t>
  </si>
  <si>
    <t xml:space="preserve">AWS Specification :- </t>
  </si>
  <si>
    <t>ER 70S-6</t>
  </si>
  <si>
    <r>
      <t>Gas :</t>
    </r>
    <r>
      <rPr>
        <b/>
        <sz val="12"/>
        <rFont val="Arial"/>
        <family val="2"/>
      </rPr>
      <t xml:space="preserve"> </t>
    </r>
  </si>
  <si>
    <t>co2</t>
  </si>
  <si>
    <t xml:space="preserve">Size                        :- </t>
  </si>
  <si>
    <r>
      <t>Composition :</t>
    </r>
    <r>
      <rPr>
        <b/>
        <sz val="12"/>
        <rFont val="Arial"/>
        <family val="2"/>
      </rPr>
      <t xml:space="preserve"> </t>
    </r>
  </si>
  <si>
    <t xml:space="preserve">Flow rate : </t>
  </si>
  <si>
    <t xml:space="preserve">06 to 18 Ltrs/min. </t>
  </si>
  <si>
    <t>TECHNIQUE</t>
  </si>
  <si>
    <t>PRE HEATING :</t>
  </si>
  <si>
    <t>N.A.</t>
  </si>
  <si>
    <t>Stringer or Weave Bead :-</t>
  </si>
  <si>
    <t>STRINGER</t>
  </si>
  <si>
    <t xml:space="preserve">Multi-pass or Single Pass (per side) :- </t>
  </si>
  <si>
    <t>SINGLE PASS.</t>
  </si>
  <si>
    <t xml:space="preserve">Contact Tube to Work Distance :- </t>
  </si>
  <si>
    <t>10 mm MAX.</t>
  </si>
  <si>
    <t xml:space="preserve">POST HEATING </t>
  </si>
  <si>
    <t xml:space="preserve">Peening : </t>
  </si>
  <si>
    <t xml:space="preserve">Interpass Cleaning :- </t>
  </si>
  <si>
    <t xml:space="preserve">Pass </t>
  </si>
  <si>
    <t xml:space="preserve">     Filler Metals</t>
  </si>
  <si>
    <t xml:space="preserve">        Current</t>
  </si>
  <si>
    <t>Class</t>
  </si>
  <si>
    <t>Diam.</t>
  </si>
  <si>
    <t xml:space="preserve">Type &amp; Polarity </t>
  </si>
  <si>
    <t>Amps &amp; Volt.</t>
  </si>
  <si>
    <t xml:space="preserve"> Wire speed</t>
  </si>
  <si>
    <t>GMAW</t>
  </si>
  <si>
    <t>SINGLE</t>
  </si>
  <si>
    <t>AWS SFA 5.1, AL 4043</t>
  </si>
  <si>
    <t>AC</t>
  </si>
  <si>
    <t>190-220 Amp &amp; 20-22 Volts</t>
  </si>
  <si>
    <t>50-60</t>
  </si>
  <si>
    <t>WELDING</t>
  </si>
  <si>
    <t xml:space="preserve">       Testing                                                                                                     Frequency </t>
  </si>
  <si>
    <t xml:space="preserve">1) Visual Test :Acceptable-                               Yes / No </t>
  </si>
  <si>
    <t xml:space="preserve">2 ) Penetration  Test : Acceptable-                  Yes / No </t>
  </si>
  <si>
    <t>We,the undersigned,certify that statements in this record are correct and that the test welds were prepared, welded,</t>
  </si>
  <si>
    <t xml:space="preserve"> and tested in accordance with the requirements of section 5,Part B of ANSI/AWS D1.1</t>
  </si>
  <si>
    <t>Manufacturer  :</t>
  </si>
  <si>
    <t>Anand Khandare , SHARADA INDUSTRIES.</t>
  </si>
  <si>
    <t>Authorized by :</t>
  </si>
  <si>
    <t xml:space="preserve">            00</t>
  </si>
  <si>
    <t>Poonam Awale</t>
  </si>
  <si>
    <t xml:space="preserve">    DATE</t>
  </si>
  <si>
    <t xml:space="preserve">        REV NO</t>
  </si>
  <si>
    <t xml:space="preserve">         PREPARED BY</t>
  </si>
  <si>
    <t>APPD. BY TML, Pune</t>
  </si>
  <si>
    <t>2.5 mm, 4mm.</t>
  </si>
  <si>
    <r>
      <t xml:space="preserve">produced at the production rate of    15 Nos </t>
    </r>
    <r>
      <rPr>
        <sz val="12"/>
        <color indexed="10"/>
        <rFont val="Cambria"/>
        <family val="1"/>
      </rPr>
      <t xml:space="preserve"> </t>
    </r>
    <r>
      <rPr>
        <sz val="12"/>
        <color indexed="8"/>
        <rFont val="Cambria"/>
        <family val="1"/>
      </rPr>
      <t>/</t>
    </r>
    <r>
      <rPr>
        <sz val="12"/>
        <color indexed="10"/>
        <rFont val="Cambria"/>
        <family val="1"/>
      </rPr>
      <t xml:space="preserve"> </t>
    </r>
    <r>
      <rPr>
        <sz val="12"/>
        <color indexed="8"/>
        <rFont val="Cambria"/>
        <family val="1"/>
      </rPr>
      <t>8   hours</t>
    </r>
    <r>
      <rPr>
        <sz val="12"/>
        <rFont val="Cambria"/>
        <family val="1"/>
      </rPr>
      <t>. I have noted any deviations from this declaration below.</t>
    </r>
  </si>
  <si>
    <t>SHARADA INDUSTRIES 
W-199 , 'S' BLOCK ,BHOSARI,PUNE-26</t>
  </si>
  <si>
    <t xml:space="preserve">  STATISTICAL PROCESS CONTROL (X-bar &amp; R chart) STUDY</t>
  </si>
  <si>
    <t>Format No:</t>
  </si>
  <si>
    <t>F-QAD-29</t>
  </si>
  <si>
    <t>Revision No:</t>
  </si>
  <si>
    <t>Revision Date:</t>
  </si>
  <si>
    <t>20-02-2015</t>
  </si>
  <si>
    <t>PART NAME       :</t>
  </si>
  <si>
    <t>INSTRUMENT    :</t>
  </si>
  <si>
    <t>LEAST COUNT           :</t>
  </si>
  <si>
    <t>PART NO.           :</t>
  </si>
  <si>
    <t>SPECIFIC          :</t>
  </si>
  <si>
    <t>NO.OF DECIMALS:</t>
  </si>
  <si>
    <t>DATE:</t>
  </si>
  <si>
    <t>SAMPLE SIZE     :</t>
  </si>
  <si>
    <t>DATA COLLECTION: -</t>
  </si>
  <si>
    <t>SNO.</t>
  </si>
  <si>
    <t>U.T.L.</t>
  </si>
  <si>
    <t>L.T.L.</t>
  </si>
  <si>
    <t>CALCULATIONS FOR HISTOGRAM : -</t>
  </si>
  <si>
    <r>
      <t>X</t>
    </r>
    <r>
      <rPr>
        <sz val="6"/>
        <rFont val="Arial"/>
        <family val="2"/>
      </rPr>
      <t>LARGE</t>
    </r>
  </si>
  <si>
    <t>Xmax.   =</t>
  </si>
  <si>
    <t>NO.OF NON CONFORMING PART =</t>
  </si>
  <si>
    <t>NOS.</t>
  </si>
  <si>
    <r>
      <t>X</t>
    </r>
    <r>
      <rPr>
        <sz val="6"/>
        <rFont val="Arial"/>
        <family val="2"/>
      </rPr>
      <t>SMALL</t>
    </r>
  </si>
  <si>
    <t>Xmin.    =</t>
  </si>
  <si>
    <t>RANGE</t>
  </si>
  <si>
    <t>R - BAR =</t>
  </si>
  <si>
    <t xml:space="preserve">NO. OF PARTS ABOVE U.T.L.     = </t>
  </si>
  <si>
    <t>AVG.</t>
  </si>
  <si>
    <t>X - BAR =</t>
  </si>
  <si>
    <t xml:space="preserve">NO. OF PARTS BELOW L.T.L.     = </t>
  </si>
  <si>
    <t>Process Width ( P )    =</t>
  </si>
  <si>
    <t>Specification Width(S)         =</t>
  </si>
  <si>
    <t>Index (K)={2 x (D-XBAR)/S} =</t>
  </si>
  <si>
    <t>INTERVAL</t>
  </si>
  <si>
    <t>FREQ.</t>
  </si>
  <si>
    <t>CU. FREQ.</t>
  </si>
  <si>
    <t>Design Centre ( D )     =</t>
  </si>
  <si>
    <t>Interval                               =</t>
  </si>
  <si>
    <t>Selecting no. of classes     =</t>
  </si>
  <si>
    <t>Starting Point               =</t>
  </si>
  <si>
    <t>No. of readings                   =</t>
  </si>
  <si>
    <t>Shift Of 'X-BAR' from 'D'      =</t>
  </si>
  <si>
    <t>R - Bar</t>
  </si>
  <si>
    <t>X - Bar</t>
  </si>
  <si>
    <r>
      <t>U.C.L.</t>
    </r>
    <r>
      <rPr>
        <sz val="6"/>
        <rFont val="Arial"/>
        <family val="2"/>
      </rPr>
      <t xml:space="preserve">XBAR                  </t>
    </r>
    <r>
      <rPr>
        <sz val="11"/>
        <color theme="1"/>
        <rFont val="Calibri"/>
        <family val="2"/>
        <scheme val="minor"/>
      </rPr>
      <t>=</t>
    </r>
  </si>
  <si>
    <r>
      <t>L.C.L.</t>
    </r>
    <r>
      <rPr>
        <sz val="6"/>
        <rFont val="Arial"/>
        <family val="2"/>
      </rPr>
      <t xml:space="preserve">XBAR              </t>
    </r>
    <r>
      <rPr>
        <sz val="11"/>
        <color theme="1"/>
        <rFont val="Calibri"/>
        <family val="2"/>
        <scheme val="minor"/>
      </rPr>
      <t xml:space="preserve">   =</t>
    </r>
  </si>
  <si>
    <r>
      <t>U.C.L.</t>
    </r>
    <r>
      <rPr>
        <sz val="6"/>
        <rFont val="Arial"/>
        <family val="2"/>
      </rPr>
      <t xml:space="preserve">RBAR             </t>
    </r>
    <r>
      <rPr>
        <sz val="11"/>
        <color theme="1"/>
        <rFont val="Calibri"/>
        <family val="2"/>
        <scheme val="minor"/>
      </rPr>
      <t xml:space="preserve">   =</t>
    </r>
  </si>
  <si>
    <r>
      <t>L.C.L.</t>
    </r>
    <r>
      <rPr>
        <sz val="6"/>
        <rFont val="Arial"/>
        <family val="2"/>
      </rPr>
      <t xml:space="preserve">RBAR               </t>
    </r>
    <r>
      <rPr>
        <sz val="11"/>
        <color theme="1"/>
        <rFont val="Calibri"/>
        <family val="2"/>
        <scheme val="minor"/>
      </rPr>
      <t xml:space="preserve">   =</t>
    </r>
  </si>
  <si>
    <r>
      <t>Std.Dev."</t>
    </r>
    <r>
      <rPr>
        <b/>
        <sz val="10"/>
        <color indexed="10"/>
        <rFont val="Bookman Old Style"/>
        <family val="1"/>
      </rPr>
      <t>s</t>
    </r>
    <r>
      <rPr>
        <b/>
        <sz val="10"/>
        <color indexed="10"/>
        <rFont val="Arial"/>
        <family val="2"/>
      </rPr>
      <t>"       =</t>
    </r>
  </si>
  <si>
    <r>
      <t>Cp=(S/6</t>
    </r>
    <r>
      <rPr>
        <b/>
        <sz val="10"/>
        <color indexed="10"/>
        <rFont val="Bookman Old Style"/>
        <family val="1"/>
      </rPr>
      <t>s</t>
    </r>
    <r>
      <rPr>
        <b/>
        <sz val="10"/>
        <color indexed="10"/>
        <rFont val="Arial"/>
        <family val="2"/>
      </rPr>
      <t>)          =</t>
    </r>
  </si>
  <si>
    <t>CONCLUSION : -</t>
  </si>
  <si>
    <t>Cpk={1-K}xPp)  =</t>
  </si>
  <si>
    <t>CP,CPk =&gt; 1.67 ACCEPTABLE</t>
  </si>
  <si>
    <t>2527 0914 0196</t>
  </si>
  <si>
    <t>Height Gauge</t>
  </si>
  <si>
    <t>To receive Loose parts as per the requirement.</t>
  </si>
  <si>
    <t>02.Using Proper Grade Welding wire.</t>
  </si>
  <si>
    <t>03. Optimum setiings of welding parameter.</t>
  </si>
  <si>
    <t>01. Inspection done on Insp Fixt.</t>
  </si>
  <si>
    <t>01. Material to be stored at proper location.</t>
  </si>
  <si>
    <t xml:space="preserve">020.SHEARING  </t>
  </si>
  <si>
    <t>1. Length &amp; Width of strip less</t>
  </si>
  <si>
    <t>Length : 1250</t>
  </si>
  <si>
    <t>Sheet to required strip</t>
  </si>
  <si>
    <t>Width : 270</t>
  </si>
  <si>
    <t>Size on shearing M/C</t>
  </si>
  <si>
    <t>UNIT II SHARADA INDUSTRIES</t>
  </si>
  <si>
    <t>Strips should be free of rust,dents.</t>
  </si>
  <si>
    <t>JAYSSON POWDER COATING</t>
  </si>
  <si>
    <t>030. BLANKING</t>
  </si>
  <si>
    <t xml:space="preserve">040. PIERCING </t>
  </si>
  <si>
    <r>
      <t>050. INSPECTION.</t>
    </r>
    <r>
      <rPr>
        <sz val="10"/>
        <rFont val="Cambria"/>
        <family val="1"/>
      </rPr>
      <t xml:space="preserve">
SHARADA INDUSTRIES ,                  UNIT-II</t>
    </r>
  </si>
  <si>
    <t xml:space="preserve">060. STORAGE.
SHARADA INDUSTRIES ,          UNIT-II
</t>
  </si>
  <si>
    <t>Third Party Lab TC</t>
  </si>
  <si>
    <t>Thickness 4</t>
  </si>
  <si>
    <t>040. FORMING</t>
  </si>
  <si>
    <r>
      <t>040. INSPECTION.</t>
    </r>
    <r>
      <rPr>
        <sz val="10"/>
        <rFont val="Cambria"/>
        <family val="1"/>
      </rPr>
      <t xml:space="preserve">
SHARADA INDUSTRIES ,                  UNIT-II</t>
    </r>
  </si>
  <si>
    <t>Validation of Inspection Fixture not done.</t>
  </si>
  <si>
    <t>Human Error (Fualty method of part inspection)</t>
  </si>
  <si>
    <t>Width : 190</t>
  </si>
  <si>
    <t>Width : 40</t>
  </si>
  <si>
    <t>1. Stopper Position setting.</t>
  </si>
  <si>
    <t>Width : 432</t>
  </si>
  <si>
    <t>Thickness 2.5</t>
  </si>
  <si>
    <t>Width : 30</t>
  </si>
  <si>
    <t>1. Length 22</t>
  </si>
  <si>
    <t>2.Width 22</t>
  </si>
  <si>
    <t>POTENTIAL EFFECT(s) OF FAILURE.                           1. END USER                                 2. MFG./ASSEMBLY              3. SAFETY</t>
  </si>
  <si>
    <t>Assy. Problem  May cause final rejection at Customer End.</t>
  </si>
  <si>
    <t xml:space="preserve">As Per CHT-PRD </t>
  </si>
  <si>
    <t>Coating layer quality</t>
  </si>
  <si>
    <t xml:space="preserve">Cleaning of parts </t>
  </si>
  <si>
    <t>Inspection fixture / Panel Checker showing incorrect readings / results</t>
  </si>
  <si>
    <t>Assy. Problem  / May cause final rejection at Customer End.</t>
  </si>
  <si>
    <t>Insp Fixt Validation done as per Layout Inspection Frequency</t>
  </si>
  <si>
    <t>During Fixture Validation</t>
  </si>
  <si>
    <t>Measuring Instrument showing incorrect readings</t>
  </si>
  <si>
    <t>Calibration of Inpection Insrtument not done.</t>
  </si>
  <si>
    <t>1. Calibration frequency has been defined
2. Calibration plan has been prepared &amp; calibration is being done as per this plan</t>
  </si>
  <si>
    <t>During Calibration</t>
  </si>
  <si>
    <t>May lead to rejection at our End / customer end.</t>
  </si>
  <si>
    <t>Human Error (Reproducibility error) not analyzed , since GRR study not done.</t>
  </si>
  <si>
    <t>MSA Study plan has been prepared &amp; MSA studies are being done as per this plan</t>
  </si>
  <si>
    <t>During MSA Study</t>
  </si>
  <si>
    <t>.............</t>
  </si>
  <si>
    <t>Weld Penetration less than reqd specification.</t>
  </si>
  <si>
    <t xml:space="preserve">Low strength of weld joint.
</t>
  </si>
  <si>
    <t>1. Wrong welding parameters.
2. Wrong welding consumables (Welding Wire, Contact tip, etc)
3. Contact tube to work distance more than reqd.</t>
  </si>
  <si>
    <t>M RECEIPT (CHILD PART RECEIPT)</t>
  </si>
  <si>
    <t>DIMENSIONS</t>
  </si>
  <si>
    <t>To receive child part  as Per drawing requirement.</t>
  </si>
  <si>
    <t>SUPPLIER PDI REPORT</t>
  </si>
  <si>
    <t>LAYOUTS  FRQUENCY/ INCOMING INSPECTION REPORT</t>
  </si>
  <si>
    <t>AS PER DRAWING</t>
  </si>
  <si>
    <t>RM TC</t>
  </si>
  <si>
    <t>LAB TC</t>
  </si>
  <si>
    <t>FREE FROM RUST,SCALE,CRACK, BLACK PATCHES,PITTING</t>
  </si>
  <si>
    <t xml:space="preserve">  TACK &amp; FULL WELDING                         BKT.0141 TACK &amp; FULL WELD WITH 0152,6311,7120.</t>
  </si>
  <si>
    <t>CO2 Welding M/C.</t>
  </si>
  <si>
    <r>
      <t xml:space="preserve">887 </t>
    </r>
    <r>
      <rPr>
        <sz val="28"/>
        <rFont val="Calibri"/>
        <family val="2"/>
      </rPr>
      <t>± 5</t>
    </r>
  </si>
  <si>
    <t>First piece Inspection/ Inprocess Inspection</t>
  </si>
  <si>
    <t>Sort/Rework</t>
  </si>
  <si>
    <t>Fixture Validation Done at a defined frequency.</t>
  </si>
  <si>
    <t>C.D</t>
  </si>
  <si>
    <t>WELD AT 6 PLACES EQUISPACED</t>
  </si>
  <si>
    <t xml:space="preserve">As Per CHT-PRD-24 </t>
  </si>
  <si>
    <t xml:space="preserve">C.E.D.   
</t>
  </si>
  <si>
    <t>SS: 7265</t>
  </si>
  <si>
    <t>95/100 mimimum</t>
  </si>
  <si>
    <t>Adhesion Tape</t>
  </si>
  <si>
    <t xml:space="preserve">Surface Protection      TYPE 10
</t>
  </si>
  <si>
    <t>Process Control Plan Number : SI / PCP /215331700141 /01</t>
  </si>
  <si>
    <t>Part Number / Latest Change Level  : 215331700141/e/05/06/2014</t>
  </si>
  <si>
    <t>Part Name / Description : CHANNEL ASSY.(RUPD)</t>
  </si>
  <si>
    <t>Date(Orig.):  31/08/2016</t>
  </si>
  <si>
    <t>MATERIAL RECEIPT (CHILD  PART RECIEPT)</t>
  </si>
  <si>
    <t xml:space="preserve">Free from rust, damage, Dent </t>
  </si>
  <si>
    <t>Rusty ,Scale,Pitted, Dent &amp; Damage</t>
  </si>
  <si>
    <t xml:space="preserve">01. Rejection of Material.
02. Improper Material Performance. </t>
  </si>
  <si>
    <t xml:space="preserve">1. Improper pre treatment. </t>
  </si>
  <si>
    <t>Visual Inspection of Lot.</t>
  </si>
  <si>
    <t>100 % Visual Inspection At Receiving stage.</t>
  </si>
  <si>
    <t>Proper Identification for Rejcted /Ok parts.</t>
  </si>
  <si>
    <t>Production Dept/Q.A.Dept.</t>
  </si>
  <si>
    <t>Idenfication done for Rejected /Ok parts.</t>
  </si>
  <si>
    <t>Part Assembly as per assembly drawing.</t>
  </si>
  <si>
    <t>Child Part Missing</t>
  </si>
  <si>
    <t>Rejection Of assembly.</t>
  </si>
  <si>
    <t>Work Instructions not displyed in Work station.</t>
  </si>
  <si>
    <t>Inspection Report as per Assembly drawing.</t>
  </si>
  <si>
    <t>Checking of lot before despatch. (PDI)</t>
  </si>
  <si>
    <t>Work Instrucions displyed at Work Station.</t>
  </si>
  <si>
    <t>Developmet dept.</t>
  </si>
  <si>
    <t>To tack &amp; Full Weld The Pieces Together.</t>
  </si>
  <si>
    <t>1. Display of proper welding parameters (Work Instructions)  2)Maintain Process setting parameters as per work instructions                   3) As per WPS</t>
  </si>
  <si>
    <t>Detection cannot be reduced since it is a special process &amp; requires destructive testing for Detection which is not economical &amp; Feasible. Hence following operation has been taken to control occurence:
Welding parameters monitoring on daily basis at start of shift as per Process Setting Parameters</t>
  </si>
  <si>
    <t xml:space="preserve">1) Set machine parameter as per WPS                           2) Trained operator                     3) 100% visual insp. by welder                                                            </t>
  </si>
  <si>
    <t>CHANNEL ASSY.(RUPD)</t>
  </si>
  <si>
    <t>e/05/06/2014</t>
  </si>
  <si>
    <t>12/09/2016</t>
  </si>
  <si>
    <t>LPT 1109</t>
  </si>
  <si>
    <t>SI/FMEA/215331700141/01</t>
  </si>
  <si>
    <t>SI/FMEA/215331700141/02</t>
  </si>
  <si>
    <t>SI/FMEA/215331700141/03</t>
  </si>
  <si>
    <t>SI/FMEA/215331700141/04</t>
  </si>
  <si>
    <t>SI/FMEA/215331700141/05</t>
  </si>
  <si>
    <t>SI/FMEA/215331700141/06</t>
  </si>
  <si>
    <t>PP- 060</t>
  </si>
  <si>
    <t>PP-070</t>
  </si>
  <si>
    <t>TACK  &amp; FULL WELDING       BKT.0141 TACK &amp; FULL WELD WITH 0152,6311,7120.</t>
  </si>
  <si>
    <t>050</t>
  </si>
  <si>
    <t>SI/FMEA/215331700141/07</t>
  </si>
</sst>
</file>

<file path=xl/styles.xml><?xml version="1.0" encoding="utf-8"?>
<styleSheet xmlns="http://schemas.openxmlformats.org/spreadsheetml/2006/main">
  <numFmts count="59">
    <numFmt numFmtId="43" formatCode="_ * #,##0.00_ ;_ * \-#,##0.00_ ;_ * &quot;-&quot;??_ ;_ @_ "/>
    <numFmt numFmtId="164" formatCode="&quot;$&quot;#,##0_);[Red]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.000"/>
    <numFmt numFmtId="171" formatCode="#,##0,;[Red]\(#,##0,\)"/>
    <numFmt numFmtId="172" formatCode="#,##0.0000"/>
    <numFmt numFmtId="173" formatCode="000000"/>
    <numFmt numFmtId="174" formatCode="\ \ @\ \ "/>
    <numFmt numFmtId="175" formatCode="_(* #,##0.0_);_(* \(#,##0.00\);_(* &quot;-&quot;??_);_(@_)"/>
    <numFmt numFmtId="176" formatCode="General_)"/>
    <numFmt numFmtId="177" formatCode="0.000"/>
    <numFmt numFmtId="178" formatCode="&quot;fl&quot;#,##0_);\(&quot;fl&quot;#,##0\)"/>
    <numFmt numFmtId="179" formatCode="&quot;fl&quot;#,##0_);[Red]\(&quot;fl&quot;#,##0\)"/>
    <numFmt numFmtId="180" formatCode="&quot;fl&quot;#,##0.00_);\(&quot;fl&quot;#,##0.00\)"/>
    <numFmt numFmtId="181" formatCode="0.0000%"/>
    <numFmt numFmtId="182" formatCode="_-* #,##0.00_-;\-* #,##0.00_-;_-* \-??_-;_-@_-"/>
    <numFmt numFmtId="183" formatCode="#,##0.00;[Red]&quot;-&quot;#,##0.00"/>
    <numFmt numFmtId="184" formatCode="_(* #,##0.0_);_(* \(#,##0.0\);_(* &quot;-&quot;??_);_(@_)"/>
    <numFmt numFmtId="185" formatCode="0#\-##\-##"/>
    <numFmt numFmtId="186" formatCode="&quot;$&quot;#,##0\ ;\(&quot;$&quot;#,##0\)"/>
    <numFmt numFmtId="187" formatCode="#,##0.0%;\(#,##0.0%\)"/>
    <numFmt numFmtId="188" formatCode="mm/dd/yy"/>
    <numFmt numFmtId="189" formatCode="_ * #,##0_)\ _$_ ;_ * \(#,##0\)\ _$_ ;_ * &quot;-&quot;_)\ _$_ ;_ @_ "/>
    <numFmt numFmtId="190" formatCode="_ * #,##0.00_)\ _$_ ;_ * \(#,##0.00\)\ _$_ ;_ * &quot;-&quot;??_)\ _$_ ;_ @_ "/>
    <numFmt numFmtId="191" formatCode="#,##0;\(#,##0\)"/>
    <numFmt numFmtId="192" formatCode="0.0%"/>
    <numFmt numFmtId="193" formatCode="0.0000"/>
    <numFmt numFmtId="194" formatCode="_ &quot;Rs&quot;\ * #,##0_ ;_ &quot;Rs&quot;\ * \-#,##0_ ;_ &quot;Rs&quot;\ * &quot;-&quot;_ ;_ @_ "/>
    <numFmt numFmtId="195" formatCode="dd\-mm\-yy"/>
    <numFmt numFmtId="196" formatCode="##0.00"/>
    <numFmt numFmtId="197" formatCode="\$#,##0.00\ ;\(\$#,##0.00\)"/>
    <numFmt numFmtId="198" formatCode="\$#,##0\ ;\(\$#,##0\)"/>
    <numFmt numFmtId="199" formatCode="&quot;$&quot;#,##0.0,_);[Red]\(&quot;$&quot;#,##0.0,\)"/>
    <numFmt numFmtId="200" formatCode="0_);\(0\)"/>
    <numFmt numFmtId="201" formatCode="mmmm\-yy"/>
    <numFmt numFmtId="202" formatCode="#,##0.00\ &quot;F&quot;;\-#,##0.00\ &quot;F&quot;"/>
    <numFmt numFmtId="203" formatCode="#,##0.000_);\(#,##0.000\)"/>
    <numFmt numFmtId="204" formatCode="&quot;$&quot;#,##0;\-&quot;$&quot;#,##0"/>
    <numFmt numFmtId="205" formatCode="_-&quot;$&quot;* #,##0_-;\-&quot;$&quot;* #,##0_-;_-&quot;$&quot;* &quot;-&quot;_-;_-@_-"/>
    <numFmt numFmtId="206" formatCode="#,##0.00;[Red]\(#,##0.00\)"/>
    <numFmt numFmtId="207" formatCode="#,##0.0000_);\(#,##0.0000\)"/>
    <numFmt numFmtId="208" formatCode="0%;[Red]\(0%\)"/>
    <numFmt numFmtId="209" formatCode="#,##0.000_);[Red]\(#,##0.000\)"/>
    <numFmt numFmtId="210" formatCode="m/d"/>
    <numFmt numFmtId="211" formatCode="#,##0&quot;£&quot;_);\(#,##0&quot;£&quot;\)"/>
    <numFmt numFmtId="212" formatCode="&quot;See Note &quot;\ #"/>
    <numFmt numFmtId="213" formatCode="_ * #,##0_)\ &quot;$&quot;_ ;_ * \(#,##0\)\ &quot;$&quot;_ ;_ * &quot;-&quot;_)\ &quot;$&quot;_ ;_ @_ "/>
    <numFmt numFmtId="214" formatCode="_ * #,##0.00_)\ &quot;$&quot;_ ;_ * \(#,##0.00\)\ &quot;$&quot;_ ;_ * &quot;-&quot;??_)\ &quot;$&quot;_ ;_ @_ "/>
    <numFmt numFmtId="215" formatCode="#,##0.00\ ;&quot; -&quot;#,##0.00\ ;&quot; -&quot;#\ ;@\ "/>
    <numFmt numFmtId="216" formatCode="mm/yy"/>
    <numFmt numFmtId="217" formatCode="0.00000"/>
    <numFmt numFmtId="218" formatCode="0.000000"/>
    <numFmt numFmtId="219" formatCode="\$#,##0.0000"/>
    <numFmt numFmtId="220" formatCode="_(&quot;R$&quot;* #,##0_);_(&quot;R$&quot;* \(#,##0\);_(&quot;R$&quot;* &quot;-&quot;_);_(@_)"/>
    <numFmt numFmtId="221" formatCode="_(&quot;R$&quot;* #,##0.00_);_(&quot;R$&quot;* \(#,##0.00\);_(&quot;R$&quot;* &quot;-&quot;??_);_(@_)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mbria"/>
      <family val="1"/>
    </font>
    <font>
      <sz val="10"/>
      <name val="Cambria"/>
      <family val="1"/>
    </font>
    <font>
      <b/>
      <i/>
      <u/>
      <sz val="14"/>
      <name val="Cambria"/>
      <family val="1"/>
    </font>
    <font>
      <sz val="14"/>
      <name val="Cambria"/>
      <family val="1"/>
    </font>
    <font>
      <b/>
      <u/>
      <sz val="14"/>
      <name val="Cambria"/>
      <family val="1"/>
    </font>
    <font>
      <i/>
      <sz val="10"/>
      <name val="Cambria"/>
      <family val="1"/>
    </font>
    <font>
      <sz val="9"/>
      <name val="Cambria"/>
      <family val="1"/>
    </font>
    <font>
      <b/>
      <u/>
      <sz val="16"/>
      <name val="Cambria"/>
      <family val="1"/>
    </font>
    <font>
      <b/>
      <sz val="10"/>
      <name val="Cambria"/>
      <family val="1"/>
    </font>
    <font>
      <b/>
      <u/>
      <sz val="18"/>
      <color indexed="12"/>
      <name val="Cambria"/>
      <family val="1"/>
    </font>
    <font>
      <b/>
      <sz val="12"/>
      <name val="Cambria"/>
      <family val="1"/>
    </font>
    <font>
      <b/>
      <u/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0"/>
      <name val="MS Sans Serif"/>
      <family val="2"/>
    </font>
    <font>
      <sz val="9"/>
      <name val="Arial MT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8"/>
      <color indexed="18"/>
      <name val="Helv"/>
    </font>
    <font>
      <sz val="11"/>
      <color indexed="9"/>
      <name val="Tahoma"/>
      <family val="2"/>
    </font>
    <font>
      <u/>
      <sz val="10"/>
      <name val="Arial"/>
      <family val="2"/>
    </font>
    <font>
      <sz val="8"/>
      <name val="Times New Roman"/>
      <family val="1"/>
    </font>
    <font>
      <sz val="12"/>
      <name val="Tms Rmn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9"/>
      <name val="Times New Roman"/>
      <family val="1"/>
    </font>
    <font>
      <b/>
      <sz val="10"/>
      <name val="Helv"/>
    </font>
    <font>
      <sz val="10"/>
      <color indexed="8"/>
      <name val="Impact"/>
      <family val="2"/>
    </font>
    <font>
      <sz val="11"/>
      <color indexed="8"/>
      <name val="Calibri"/>
      <family val="2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8"/>
      <color indexed="12"/>
      <name val="Tms Rmn"/>
    </font>
    <font>
      <sz val="10"/>
      <name val="Tms Rmn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0"/>
      <color indexed="22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sz val="10"/>
      <color indexed="17"/>
      <name val="Arial"/>
      <family val="2"/>
    </font>
    <font>
      <u/>
      <sz val="12"/>
      <color indexed="12"/>
      <name val="Helv"/>
    </font>
    <font>
      <u/>
      <sz val="12"/>
      <color indexed="36"/>
      <name val="Helv"/>
    </font>
    <font>
      <b/>
      <sz val="11"/>
      <name val="Helv"/>
    </font>
    <font>
      <b/>
      <sz val="10"/>
      <color indexed="17"/>
      <name val="Arial"/>
      <family val="2"/>
    </font>
    <font>
      <sz val="7"/>
      <name val="Small Fonts"/>
      <family val="2"/>
    </font>
    <font>
      <sz val="8"/>
      <color indexed="17"/>
      <name val="Tms Rmn"/>
    </font>
    <font>
      <sz val="10"/>
      <name val="Arial"/>
      <family val="2"/>
      <charset val="1"/>
    </font>
    <font>
      <sz val="11"/>
      <name val="‚l‚r –¾’©"/>
      <charset val="128"/>
    </font>
    <font>
      <sz val="8"/>
      <color indexed="14"/>
      <name val="Tms Rmn"/>
    </font>
    <font>
      <u val="singleAccounting"/>
      <sz val="9"/>
      <name val="Times New Roman"/>
      <family val="1"/>
    </font>
    <font>
      <b/>
      <sz val="10"/>
      <name val="MS Sans Serif"/>
      <family val="2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MS Serif"/>
      <family val="1"/>
    </font>
    <font>
      <sz val="8"/>
      <name val="Helv"/>
    </font>
    <font>
      <sz val="8"/>
      <color indexed="10"/>
      <name val="Arial Narrow"/>
      <family val="2"/>
    </font>
    <font>
      <b/>
      <u/>
      <sz val="10"/>
      <name val="Tms Rmn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name val="돋움"/>
      <family val="3"/>
    </font>
    <font>
      <sz val="11"/>
      <name val="굴림체"/>
      <family val="3"/>
    </font>
    <font>
      <sz val="12"/>
      <name val="Helv"/>
      <family val="2"/>
    </font>
    <font>
      <sz val="10"/>
      <name val="Arial"/>
      <family val="2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9"/>
      <name val="Cambria"/>
      <family val="1"/>
    </font>
    <font>
      <sz val="10"/>
      <color indexed="8"/>
      <name val="Calibri"/>
      <family val="2"/>
    </font>
    <font>
      <sz val="10"/>
      <color indexed="8"/>
      <name val="Cambria"/>
      <family val="1"/>
    </font>
    <font>
      <b/>
      <sz val="16"/>
      <name val="Cambria"/>
      <family val="1"/>
    </font>
    <font>
      <b/>
      <sz val="18"/>
      <name val="Cambria"/>
      <family val="1"/>
    </font>
    <font>
      <sz val="16"/>
      <color indexed="8"/>
      <name val="Cambria"/>
      <family val="1"/>
    </font>
    <font>
      <sz val="18"/>
      <name val="Cambria"/>
      <family val="1"/>
    </font>
    <font>
      <sz val="18"/>
      <name val="Cambria"/>
      <family val="1"/>
      <scheme val="major"/>
    </font>
    <font>
      <sz val="18"/>
      <color theme="1"/>
      <name val="Cambria"/>
      <family val="1"/>
    </font>
    <font>
      <b/>
      <sz val="20"/>
      <name val="Cambria"/>
      <family val="1"/>
    </font>
    <font>
      <sz val="20"/>
      <name val="Cambria"/>
      <family val="1"/>
    </font>
    <font>
      <sz val="20"/>
      <name val="Cambria"/>
      <family val="1"/>
      <scheme val="major"/>
    </font>
    <font>
      <sz val="20"/>
      <color theme="1"/>
      <name val="Cambria"/>
      <family val="1"/>
      <scheme val="major"/>
    </font>
    <font>
      <sz val="16"/>
      <name val="Cambria"/>
      <family val="1"/>
    </font>
    <font>
      <b/>
      <u/>
      <sz val="48"/>
      <name val="Cambria"/>
      <family val="1"/>
    </font>
    <font>
      <b/>
      <sz val="28"/>
      <name val="Cambria"/>
      <family val="1"/>
    </font>
    <font>
      <sz val="24"/>
      <name val="Cambria"/>
      <family val="1"/>
    </font>
    <font>
      <b/>
      <sz val="24"/>
      <name val="Cambria"/>
      <family val="1"/>
    </font>
    <font>
      <b/>
      <sz val="26"/>
      <name val="Cambria"/>
      <family val="1"/>
    </font>
    <font>
      <sz val="28"/>
      <name val="Cambria"/>
      <family val="1"/>
    </font>
    <font>
      <i/>
      <sz val="26"/>
      <name val="Cambria"/>
      <family val="1"/>
    </font>
    <font>
      <sz val="10"/>
      <name val="Calibri"/>
      <family val="2"/>
    </font>
    <font>
      <sz val="12"/>
      <name val="Cambria"/>
      <family val="1"/>
    </font>
    <font>
      <sz val="12"/>
      <name val="Tahoma"/>
      <family val="2"/>
    </font>
    <font>
      <sz val="28"/>
      <name val="Cambria"/>
      <family val="1"/>
      <scheme val="major"/>
    </font>
    <font>
      <sz val="28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b/>
      <u/>
      <sz val="12"/>
      <name val="Cambria"/>
      <family val="1"/>
    </font>
    <font>
      <sz val="12"/>
      <color indexed="10"/>
      <name val="Cambria"/>
      <family val="1"/>
    </font>
    <font>
      <sz val="12"/>
      <color indexed="8"/>
      <name val="Cambria"/>
      <family val="1"/>
    </font>
    <font>
      <sz val="20"/>
      <color theme="1"/>
      <name val="Cambria"/>
      <family val="1"/>
    </font>
    <font>
      <sz val="12"/>
      <name val="Arial"/>
      <family val="2"/>
    </font>
    <font>
      <b/>
      <i/>
      <u/>
      <sz val="12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  <font>
      <b/>
      <sz val="19"/>
      <name val="Arial"/>
      <family val="2"/>
    </font>
    <font>
      <sz val="9"/>
      <name val="Arial"/>
      <family val="2"/>
    </font>
    <font>
      <b/>
      <sz val="10"/>
      <color indexed="10"/>
      <name val="Arial"/>
      <family val="2"/>
    </font>
    <font>
      <b/>
      <sz val="10"/>
      <color indexed="10"/>
      <name val="Arial Narrow"/>
      <family val="2"/>
    </font>
    <font>
      <sz val="6"/>
      <name val="Arial"/>
      <family val="2"/>
    </font>
    <font>
      <b/>
      <sz val="8"/>
      <name val="Arial"/>
      <family val="2"/>
    </font>
    <font>
      <b/>
      <sz val="10"/>
      <color indexed="10"/>
      <name val="Bookman Old Style"/>
      <family val="1"/>
    </font>
    <font>
      <b/>
      <i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28"/>
      <name val="Cambria"/>
      <family val="1"/>
      <scheme val="major"/>
    </font>
    <font>
      <sz val="18"/>
      <color indexed="8"/>
      <name val="Cambria"/>
      <family val="1"/>
    </font>
    <font>
      <b/>
      <sz val="18"/>
      <name val="Cambria"/>
      <family val="1"/>
      <scheme val="maj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9"/>
        <bgColor indexed="22"/>
      </patternFill>
    </fill>
    <fill>
      <patternFill patternType="solid">
        <fgColor indexed="10"/>
        <bgColor indexed="60"/>
      </patternFill>
    </fill>
    <fill>
      <patternFill patternType="solid">
        <fgColor indexed="20"/>
        <bgColor indexed="36"/>
      </patternFill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57">
    <xf numFmtId="0" fontId="0" fillId="0" borderId="0"/>
    <xf numFmtId="0" fontId="2" fillId="0" borderId="0"/>
    <xf numFmtId="0" fontId="2" fillId="0" borderId="0"/>
    <xf numFmtId="0" fontId="2" fillId="0" borderId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" fillId="0" borderId="0"/>
    <xf numFmtId="0" fontId="19" fillId="0" borderId="0">
      <alignment vertical="top"/>
    </xf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173" fontId="21" fillId="0" borderId="0">
      <alignment horizontal="center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173" fontId="21" fillId="0" borderId="0">
      <alignment horizontal="center"/>
    </xf>
    <xf numFmtId="174" fontId="23" fillId="16" borderId="0" applyNumberFormat="0" applyFill="0" applyBorder="0" applyAlignment="0" applyProtection="0">
      <protection locked="0"/>
    </xf>
    <xf numFmtId="0" fontId="24" fillId="0" borderId="0">
      <alignment horizontal="center" wrapText="1"/>
      <protection locked="0"/>
    </xf>
    <xf numFmtId="0" fontId="18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5" fontId="28" fillId="0" borderId="0" applyFill="0" applyBorder="0" applyAlignment="0"/>
    <xf numFmtId="176" fontId="28" fillId="0" borderId="0" applyFill="0" applyBorder="0" applyAlignment="0"/>
    <xf numFmtId="177" fontId="28" fillId="0" borderId="0" applyFill="0" applyBorder="0" applyAlignment="0"/>
    <xf numFmtId="178" fontId="28" fillId="0" borderId="0" applyFill="0" applyBorder="0" applyAlignment="0"/>
    <xf numFmtId="179" fontId="28" fillId="0" borderId="0" applyFill="0" applyBorder="0" applyAlignment="0"/>
    <xf numFmtId="175" fontId="28" fillId="0" borderId="0" applyFill="0" applyBorder="0" applyAlignment="0"/>
    <xf numFmtId="180" fontId="28" fillId="0" borderId="0" applyFill="0" applyBorder="0" applyAlignment="0"/>
    <xf numFmtId="176" fontId="28" fillId="0" borderId="0" applyFill="0" applyBorder="0" applyAlignment="0"/>
    <xf numFmtId="0" fontId="29" fillId="0" borderId="0"/>
    <xf numFmtId="0" fontId="30" fillId="17" borderId="17">
      <alignment horizontal="center" wrapText="1"/>
    </xf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75" fontId="28" fillId="0" borderId="0" applyFont="0" applyFill="0" applyBorder="0" applyAlignment="0" applyProtection="0"/>
    <xf numFmtId="182" fontId="31" fillId="0" borderId="0" applyFill="0" applyBorder="0" applyAlignment="0" applyProtection="0"/>
    <xf numFmtId="40" fontId="17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33" fillId="0" borderId="0"/>
    <xf numFmtId="0" fontId="34" fillId="0" borderId="0"/>
    <xf numFmtId="0" fontId="33" fillId="0" borderId="0"/>
    <xf numFmtId="0" fontId="34" fillId="0" borderId="0"/>
    <xf numFmtId="0" fontId="2" fillId="0" borderId="0">
      <alignment horizontal="center"/>
    </xf>
    <xf numFmtId="183" fontId="2" fillId="0" borderId="0">
      <alignment horizontal="center"/>
    </xf>
    <xf numFmtId="164" fontId="35" fillId="0" borderId="10" applyBorder="0"/>
    <xf numFmtId="18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32" fillId="0" borderId="0" applyFont="0" applyFill="0" applyBorder="0" applyAlignment="0" applyProtection="0"/>
    <xf numFmtId="187" fontId="2" fillId="16" borderId="0" applyFont="0" applyBorder="0"/>
    <xf numFmtId="188" fontId="17" fillId="0" borderId="18" applyFont="0" applyFill="0" applyBorder="0" applyAlignment="0">
      <alignment horizontal="center"/>
    </xf>
    <xf numFmtId="14" fontId="19" fillId="0" borderId="0" applyFill="0" applyBorder="0" applyAlignment="0"/>
    <xf numFmtId="0" fontId="32" fillId="0" borderId="0" applyFont="0" applyFill="0" applyBorder="0" applyAlignment="0" applyProtection="0"/>
    <xf numFmtId="38" fontId="17" fillId="0" borderId="19">
      <alignment vertical="center"/>
    </xf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1" fontId="36" fillId="0" borderId="0"/>
    <xf numFmtId="192" fontId="17" fillId="0" borderId="0" applyFill="0" applyBorder="0" applyAlignment="0" applyProtection="0">
      <alignment horizontal="right"/>
    </xf>
    <xf numFmtId="192" fontId="17" fillId="0" borderId="0" applyFill="0" applyBorder="0" applyAlignment="0">
      <alignment horizontal="right"/>
    </xf>
    <xf numFmtId="193" fontId="17" fillId="0" borderId="0" applyFill="0" applyBorder="0" applyAlignment="0">
      <alignment horizontal="right"/>
    </xf>
    <xf numFmtId="0" fontId="37" fillId="0" borderId="9">
      <alignment horizontal="left" vertical="center" wrapText="1"/>
    </xf>
    <xf numFmtId="194" fontId="2" fillId="0" borderId="0" applyFill="0" applyBorder="0" applyAlignment="0"/>
    <xf numFmtId="184" fontId="2" fillId="0" borderId="0" applyFill="0" applyBorder="0" applyAlignment="0"/>
    <xf numFmtId="194" fontId="2" fillId="0" borderId="0" applyFill="0" applyBorder="0" applyAlignment="0"/>
    <xf numFmtId="195" fontId="2" fillId="0" borderId="0" applyFill="0" applyBorder="0" applyAlignment="0"/>
    <xf numFmtId="184" fontId="2" fillId="0" borderId="0" applyFill="0" applyBorder="0" applyAlignment="0"/>
    <xf numFmtId="0" fontId="31" fillId="0" borderId="0"/>
    <xf numFmtId="0" fontId="38" fillId="0" borderId="0"/>
    <xf numFmtId="0" fontId="39" fillId="0" borderId="0" applyFont="0" applyFill="0" applyBorder="0" applyAlignment="0" applyProtection="0"/>
    <xf numFmtId="2" fontId="39" fillId="0" borderId="0" applyFont="0" applyFill="0" applyBorder="0" applyAlignment="0" applyProtection="0"/>
    <xf numFmtId="2" fontId="32" fillId="0" borderId="0" applyFont="0" applyFill="0" applyBorder="0" applyAlignment="0" applyProtection="0"/>
    <xf numFmtId="38" fontId="40" fillId="18" borderId="0" applyNumberFormat="0" applyBorder="0" applyAlignment="0" applyProtection="0"/>
    <xf numFmtId="0" fontId="41" fillId="0" borderId="0">
      <alignment horizontal="left"/>
    </xf>
    <xf numFmtId="0" fontId="42" fillId="0" borderId="20" applyNumberFormat="0" applyAlignment="0" applyProtection="0">
      <alignment horizontal="left" vertical="center"/>
    </xf>
    <xf numFmtId="0" fontId="42" fillId="0" borderId="11">
      <alignment horizontal="left" vertical="center"/>
    </xf>
    <xf numFmtId="10" fontId="40" fillId="18" borderId="9" applyNumberFormat="0" applyBorder="0" applyAlignment="0" applyProtection="0"/>
    <xf numFmtId="196" fontId="43" fillId="0" borderId="4" applyBorder="0"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194" fontId="2" fillId="0" borderId="0" applyFill="0" applyBorder="0" applyAlignment="0"/>
    <xf numFmtId="184" fontId="2" fillId="0" borderId="0" applyFill="0" applyBorder="0" applyAlignment="0"/>
    <xf numFmtId="194" fontId="2" fillId="0" borderId="0" applyFill="0" applyBorder="0" applyAlignment="0"/>
    <xf numFmtId="195" fontId="2" fillId="0" borderId="0" applyFill="0" applyBorder="0" applyAlignment="0"/>
    <xf numFmtId="184" fontId="2" fillId="0" borderId="0" applyFill="0" applyBorder="0" applyAlignment="0"/>
    <xf numFmtId="167" fontId="2" fillId="0" borderId="0" applyFont="0" applyFill="0" applyBorder="0" applyAlignment="0" applyProtection="0"/>
    <xf numFmtId="4" fontId="39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6" fillId="0" borderId="7"/>
    <xf numFmtId="197" fontId="39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98" fontId="39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99" fontId="17" fillId="0" borderId="0" applyFill="0" applyBorder="0" applyAlignment="0">
      <alignment horizontal="right"/>
    </xf>
    <xf numFmtId="0" fontId="47" fillId="0" borderId="0">
      <alignment horizontal="right"/>
    </xf>
    <xf numFmtId="0" fontId="43" fillId="0" borderId="21" applyNumberFormat="0" applyAlignment="0"/>
    <xf numFmtId="37" fontId="48" fillId="0" borderId="0"/>
    <xf numFmtId="200" fontId="2" fillId="0" borderId="0"/>
    <xf numFmtId="37" fontId="35" fillId="0" borderId="0"/>
    <xf numFmtId="38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40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14" fontId="24" fillId="0" borderId="0">
      <alignment horizontal="center" wrapText="1"/>
      <protection locked="0"/>
    </xf>
    <xf numFmtId="0" fontId="52" fillId="0" borderId="0"/>
    <xf numFmtId="201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203" fontId="17" fillId="0" borderId="0" applyFill="0" applyBorder="0" applyAlignment="0">
      <alignment horizontal="right"/>
    </xf>
    <xf numFmtId="38" fontId="40" fillId="0" borderId="0" applyFill="0" applyBorder="0" applyAlignment="0" applyProtection="0">
      <alignment horizontal="right"/>
    </xf>
    <xf numFmtId="204" fontId="17" fillId="0" borderId="22" applyFill="0" applyAlignment="0">
      <alignment horizontal="right"/>
    </xf>
    <xf numFmtId="205" fontId="17" fillId="0" borderId="0" applyNumberFormat="0" applyFill="0" applyBorder="0" applyAlignment="0">
      <alignment horizontal="right"/>
    </xf>
    <xf numFmtId="191" fontId="17" fillId="19" borderId="0" applyFont="0" applyBorder="0" applyAlignment="0">
      <alignment horizontal="right"/>
    </xf>
    <xf numFmtId="0" fontId="53" fillId="0" borderId="0" applyFill="0" applyBorder="0">
      <alignment horizontal="right"/>
    </xf>
    <xf numFmtId="10" fontId="39" fillId="0" borderId="0" applyFont="0" applyFill="0" applyBorder="0" applyAlignment="0" applyProtection="0"/>
    <xf numFmtId="43" fontId="2" fillId="0" borderId="0" applyFill="0" applyBorder="0" applyAlignment="0"/>
    <xf numFmtId="206" fontId="2" fillId="0" borderId="0" applyFill="0" applyBorder="0" applyAlignment="0"/>
    <xf numFmtId="43" fontId="2" fillId="0" borderId="0" applyFill="0" applyBorder="0" applyAlignment="0"/>
    <xf numFmtId="207" fontId="2" fillId="0" borderId="0" applyFill="0" applyBorder="0" applyAlignment="0"/>
    <xf numFmtId="206" fontId="2" fillId="0" borderId="0" applyFill="0" applyBorder="0" applyAlignment="0"/>
    <xf numFmtId="0" fontId="17" fillId="0" borderId="0" applyNumberFormat="0" applyFont="0" applyFill="0" applyBorder="0" applyAlignment="0" applyProtection="0">
      <alignment horizontal="left"/>
    </xf>
    <xf numFmtId="15" fontId="17" fillId="0" borderId="0" applyFont="0" applyFill="0" applyBorder="0" applyAlignment="0" applyProtection="0"/>
    <xf numFmtId="4" fontId="17" fillId="0" borderId="0" applyFont="0" applyFill="0" applyBorder="0" applyAlignment="0" applyProtection="0"/>
    <xf numFmtId="0" fontId="54" fillId="0" borderId="7">
      <alignment horizontal="center"/>
    </xf>
    <xf numFmtId="3" fontId="17" fillId="0" borderId="0" applyFont="0" applyFill="0" applyBorder="0" applyAlignment="0" applyProtection="0"/>
    <xf numFmtId="0" fontId="17" fillId="20" borderId="0" applyNumberFormat="0" applyFont="0" applyBorder="0" applyAlignment="0" applyProtection="0"/>
    <xf numFmtId="3" fontId="39" fillId="0" borderId="0" applyFont="0" applyFill="0" applyBorder="0" applyAlignment="0" applyProtection="0"/>
    <xf numFmtId="208" fontId="17" fillId="0" borderId="0" applyFont="0" applyFill="0" applyBorder="0" applyAlignment="0" applyProtection="0"/>
    <xf numFmtId="170" fontId="55" fillId="0" borderId="0">
      <protection locked="0"/>
    </xf>
    <xf numFmtId="3" fontId="2" fillId="16" borderId="23" applyFont="0" applyFill="0" applyBorder="0" applyAlignment="0" applyProtection="0"/>
    <xf numFmtId="4" fontId="2" fillId="16" borderId="23" applyFont="0" applyFill="0" applyBorder="0" applyAlignment="0" applyProtection="0"/>
    <xf numFmtId="209" fontId="2" fillId="16" borderId="23" applyFont="0" applyFill="0" applyBorder="0" applyAlignment="0" applyProtection="0"/>
    <xf numFmtId="38" fontId="2" fillId="16" borderId="24" applyFont="0" applyFill="0" applyBorder="0" applyAlignment="0" applyProtection="0"/>
    <xf numFmtId="10" fontId="2" fillId="16" borderId="23" applyFont="0" applyFill="0" applyBorder="0" applyAlignment="0" applyProtection="0"/>
    <xf numFmtId="9" fontId="2" fillId="16" borderId="23" applyFont="0" applyFill="0" applyBorder="0" applyAlignment="0" applyProtection="0"/>
    <xf numFmtId="2" fontId="2" fillId="16" borderId="23" applyFont="0" applyFill="0" applyBorder="0" applyAlignment="0" applyProtection="0"/>
    <xf numFmtId="0" fontId="40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>
      <alignment vertical="top"/>
    </xf>
    <xf numFmtId="0" fontId="46" fillId="0" borderId="0"/>
    <xf numFmtId="191" fontId="56" fillId="0" borderId="0" applyNumberFormat="0" applyFill="0" applyBorder="0" applyAlignment="0" applyProtection="0"/>
    <xf numFmtId="49" fontId="19" fillId="0" borderId="0" applyFill="0" applyBorder="0" applyAlignment="0"/>
    <xf numFmtId="210" fontId="2" fillId="0" borderId="0" applyFill="0" applyBorder="0" applyAlignment="0"/>
    <xf numFmtId="211" fontId="2" fillId="0" borderId="0" applyFill="0" applyBorder="0" applyAlignment="0"/>
    <xf numFmtId="0" fontId="57" fillId="0" borderId="25" applyNumberFormat="0" applyFill="0" applyProtection="0"/>
    <xf numFmtId="212" fontId="58" fillId="0" borderId="0">
      <alignment horizontal="left"/>
    </xf>
    <xf numFmtId="0" fontId="59" fillId="0" borderId="0">
      <alignment vertical="top"/>
    </xf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0" fontId="60" fillId="0" borderId="0"/>
    <xf numFmtId="0" fontId="61" fillId="21" borderId="26" applyNumberFormat="0" applyAlignment="0" applyProtection="0"/>
    <xf numFmtId="0" fontId="62" fillId="0" borderId="27" applyNumberFormat="0" applyFill="0" applyAlignment="0" applyProtection="0"/>
    <xf numFmtId="0" fontId="63" fillId="3" borderId="0" applyNumberFormat="0" applyBorder="0" applyAlignment="0" applyProtection="0"/>
    <xf numFmtId="0" fontId="64" fillId="22" borderId="28" applyNumberFormat="0" applyAlignment="0" applyProtection="0"/>
    <xf numFmtId="0" fontId="65" fillId="22" borderId="29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7" borderId="29" applyNumberFormat="0" applyAlignment="0" applyProtection="0"/>
    <xf numFmtId="0" fontId="71" fillId="23" borderId="0" applyNumberFormat="0" applyBorder="0" applyAlignment="0" applyProtection="0"/>
    <xf numFmtId="0" fontId="72" fillId="0" borderId="30" applyNumberFormat="0" applyFill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27" borderId="0" applyNumberFormat="0" applyBorder="0" applyAlignment="0" applyProtection="0"/>
    <xf numFmtId="0" fontId="20" fillId="28" borderId="31" applyNumberFormat="0" applyFont="0" applyAlignment="0" applyProtection="0"/>
    <xf numFmtId="0" fontId="73" fillId="0" borderId="32" applyNumberFormat="0" applyFill="0" applyAlignment="0" applyProtection="0"/>
    <xf numFmtId="0" fontId="74" fillId="0" borderId="33" applyNumberFormat="0" applyFill="0" applyAlignment="0" applyProtection="0"/>
    <xf numFmtId="0" fontId="75" fillId="0" borderId="34" applyNumberFormat="0" applyFill="0" applyAlignment="0" applyProtection="0"/>
    <xf numFmtId="0" fontId="75" fillId="0" borderId="0" applyNumberFormat="0" applyFill="0" applyBorder="0" applyAlignment="0" applyProtection="0"/>
    <xf numFmtId="215" fontId="76" fillId="0" borderId="0" applyFill="0" applyBorder="0" applyAlignment="0" applyProtection="0"/>
    <xf numFmtId="0" fontId="77" fillId="0" borderId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78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79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9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17" fillId="0" borderId="0"/>
    <xf numFmtId="0" fontId="1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5" borderId="0" applyNumberFormat="0" applyBorder="0" applyAlignment="0" applyProtection="0"/>
    <xf numFmtId="0" fontId="31" fillId="8" borderId="0" applyNumberFormat="0" applyBorder="0" applyAlignment="0" applyProtection="0"/>
    <xf numFmtId="0" fontId="31" fillId="11" borderId="0" applyNumberFormat="0" applyBorder="0" applyAlignment="0" applyProtection="0"/>
    <xf numFmtId="0" fontId="132" fillId="12" borderId="0" applyNumberFormat="0" applyBorder="0" applyAlignment="0" applyProtection="0"/>
    <xf numFmtId="0" fontId="132" fillId="9" borderId="0" applyNumberFormat="0" applyBorder="0" applyAlignment="0" applyProtection="0"/>
    <xf numFmtId="0" fontId="132" fillId="10" borderId="0" applyNumberFormat="0" applyBorder="0" applyAlignment="0" applyProtection="0"/>
    <xf numFmtId="0" fontId="132" fillId="13" borderId="0" applyNumberFormat="0" applyBorder="0" applyAlignment="0" applyProtection="0"/>
    <xf numFmtId="0" fontId="132" fillId="14" borderId="0" applyNumberFormat="0" applyBorder="0" applyAlignment="0" applyProtection="0"/>
    <xf numFmtId="0" fontId="132" fillId="15" borderId="0" applyNumberFormat="0" applyBorder="0" applyAlignment="0" applyProtection="0"/>
    <xf numFmtId="0" fontId="132" fillId="24" borderId="0" applyNumberFormat="0" applyBorder="0" applyAlignment="0" applyProtection="0"/>
    <xf numFmtId="0" fontId="132" fillId="25" borderId="0" applyNumberFormat="0" applyBorder="0" applyAlignment="0" applyProtection="0"/>
    <xf numFmtId="0" fontId="132" fillId="26" borderId="0" applyNumberFormat="0" applyBorder="0" applyAlignment="0" applyProtection="0"/>
    <xf numFmtId="0" fontId="132" fillId="13" borderId="0" applyNumberFormat="0" applyBorder="0" applyAlignment="0" applyProtection="0"/>
    <xf numFmtId="0" fontId="132" fillId="14" borderId="0" applyNumberFormat="0" applyBorder="0" applyAlignment="0" applyProtection="0"/>
    <xf numFmtId="0" fontId="132" fillId="27" borderId="0" applyNumberFormat="0" applyBorder="0" applyAlignment="0" applyProtection="0"/>
    <xf numFmtId="0" fontId="40" fillId="0" borderId="0" applyNumberFormat="0" applyAlignment="0"/>
    <xf numFmtId="0" fontId="133" fillId="3" borderId="0" applyNumberFormat="0" applyBorder="0" applyAlignment="0" applyProtection="0"/>
    <xf numFmtId="0" fontId="134" fillId="22" borderId="29" applyNumberFormat="0" applyAlignment="0" applyProtection="0"/>
    <xf numFmtId="0" fontId="135" fillId="21" borderId="26" applyNumberFormat="0" applyAlignment="0" applyProtection="0"/>
    <xf numFmtId="169" fontId="2" fillId="0" borderId="0" applyFont="0" applyFill="0" applyBorder="0" applyAlignment="0" applyProtection="0"/>
    <xf numFmtId="0" fontId="136" fillId="0" borderId="0" applyNumberFormat="0" applyFill="0" applyBorder="0" applyAlignment="0" applyProtection="0"/>
    <xf numFmtId="0" fontId="137" fillId="4" borderId="0" applyNumberFormat="0" applyBorder="0" applyAlignment="0" applyProtection="0"/>
    <xf numFmtId="0" fontId="138" fillId="0" borderId="32" applyNumberFormat="0" applyFill="0" applyAlignment="0" applyProtection="0"/>
    <xf numFmtId="0" fontId="139" fillId="0" borderId="33" applyNumberFormat="0" applyFill="0" applyAlignment="0" applyProtection="0"/>
    <xf numFmtId="0" fontId="140" fillId="0" borderId="34" applyNumberFormat="0" applyFill="0" applyAlignment="0" applyProtection="0"/>
    <xf numFmtId="0" fontId="140" fillId="0" borderId="0" applyNumberFormat="0" applyFill="0" applyBorder="0" applyAlignment="0" applyProtection="0"/>
    <xf numFmtId="0" fontId="141" fillId="7" borderId="29" applyNumberFormat="0" applyAlignment="0" applyProtection="0"/>
    <xf numFmtId="0" fontId="142" fillId="0" borderId="27" applyNumberFormat="0" applyFill="0" applyAlignment="0" applyProtection="0"/>
    <xf numFmtId="220" fontId="40" fillId="0" borderId="0" applyFont="0" applyFill="0" applyBorder="0" applyAlignment="0" applyProtection="0"/>
    <xf numFmtId="221" fontId="40" fillId="0" borderId="0" applyFont="0" applyFill="0" applyBorder="0" applyAlignment="0" applyProtection="0"/>
    <xf numFmtId="0" fontId="143" fillId="23" borderId="0" applyNumberFormat="0" applyBorder="0" applyAlignment="0" applyProtection="0"/>
    <xf numFmtId="0" fontId="1" fillId="0" borderId="0"/>
    <xf numFmtId="0" fontId="2" fillId="28" borderId="31" applyNumberFormat="0" applyFont="0" applyAlignment="0" applyProtection="0"/>
    <xf numFmtId="0" fontId="144" fillId="22" borderId="28" applyNumberFormat="0" applyAlignment="0" applyProtection="0"/>
    <xf numFmtId="0" fontId="145" fillId="0" borderId="0" applyNumberFormat="0" applyFill="0" applyBorder="0" applyAlignment="0" applyProtection="0"/>
    <xf numFmtId="0" fontId="146" fillId="0" borderId="30" applyNumberFormat="0" applyFill="0" applyAlignment="0" applyProtection="0"/>
    <xf numFmtId="0" fontId="147" fillId="0" borderId="0" applyNumberFormat="0" applyFill="0" applyBorder="0" applyAlignment="0" applyProtection="0"/>
  </cellStyleXfs>
  <cellXfs count="1140">
    <xf numFmtId="0" fontId="0" fillId="0" borderId="0" xfId="0"/>
    <xf numFmtId="0" fontId="3" fillId="0" borderId="1" xfId="1" applyFont="1" applyBorder="1" applyAlignment="1">
      <alignment horizontal="center"/>
    </xf>
    <xf numFmtId="0" fontId="4" fillId="0" borderId="0" xfId="1" applyFont="1" applyBorder="1"/>
    <xf numFmtId="0" fontId="4" fillId="0" borderId="2" xfId="1" applyFont="1" applyBorder="1"/>
    <xf numFmtId="0" fontId="4" fillId="0" borderId="0" xfId="1" applyFont="1" applyFill="1" applyBorder="1"/>
    <xf numFmtId="0" fontId="5" fillId="0" borderId="3" xfId="1" applyFont="1" applyBorder="1" applyAlignment="1">
      <alignment horizontal="center" vertical="center"/>
    </xf>
    <xf numFmtId="0" fontId="6" fillId="0" borderId="4" xfId="1" applyFont="1" applyBorder="1"/>
    <xf numFmtId="0" fontId="6" fillId="0" borderId="5" xfId="1" applyFont="1" applyBorder="1"/>
    <xf numFmtId="0" fontId="6" fillId="0" borderId="1" xfId="1" applyFont="1" applyBorder="1" applyAlignment="1">
      <alignment horizontal="center" vertical="center"/>
    </xf>
    <xf numFmtId="0" fontId="6" fillId="0" borderId="0" xfId="1" applyFont="1" applyBorder="1"/>
    <xf numFmtId="0" fontId="6" fillId="0" borderId="2" xfId="1" applyFont="1" applyBorder="1"/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0" borderId="0" xfId="1" applyFont="1" applyBorder="1"/>
    <xf numFmtId="1" fontId="3" fillId="0" borderId="2" xfId="1" quotePrefix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vertical="center" wrapText="1"/>
    </xf>
    <xf numFmtId="0" fontId="6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6" fillId="0" borderId="1" xfId="1" applyFont="1" applyBorder="1"/>
    <xf numFmtId="0" fontId="3" fillId="0" borderId="2" xfId="1" applyFont="1" applyBorder="1"/>
    <xf numFmtId="0" fontId="4" fillId="0" borderId="1" xfId="1" applyFont="1" applyBorder="1"/>
    <xf numFmtId="0" fontId="8" fillId="0" borderId="0" xfId="1" applyFont="1" applyFill="1" applyBorder="1" applyAlignment="1">
      <alignment horizontal="left" wrapText="1"/>
    </xf>
    <xf numFmtId="0" fontId="8" fillId="0" borderId="2" xfId="1" applyFont="1" applyFill="1" applyBorder="1" applyAlignment="1">
      <alignment horizontal="left" vertical="center" wrapText="1"/>
    </xf>
    <xf numFmtId="0" fontId="4" fillId="0" borderId="6" xfId="1" applyFont="1" applyBorder="1"/>
    <xf numFmtId="0" fontId="9" fillId="0" borderId="7" xfId="1" applyFont="1" applyBorder="1"/>
    <xf numFmtId="0" fontId="9" fillId="0" borderId="8" xfId="1" applyFont="1" applyBorder="1"/>
    <xf numFmtId="0" fontId="9" fillId="0" borderId="0" xfId="1" applyFont="1" applyFill="1" applyBorder="1"/>
    <xf numFmtId="0" fontId="3" fillId="0" borderId="0" xfId="1" applyFont="1" applyFill="1" applyBorder="1" applyAlignment="1">
      <alignment horizontal="left" vertical="center" wrapText="1"/>
    </xf>
    <xf numFmtId="0" fontId="10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/>
    </xf>
    <xf numFmtId="0" fontId="11" fillId="0" borderId="0" xfId="1" quotePrefix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11" fillId="0" borderId="0" xfId="1" applyFont="1" applyFill="1" applyBorder="1"/>
    <xf numFmtId="0" fontId="4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4" fillId="0" borderId="0" xfId="2" applyFont="1" applyFill="1"/>
    <xf numFmtId="0" fontId="4" fillId="0" borderId="0" xfId="2" applyFont="1" applyFill="1" applyAlignment="1">
      <alignment horizontal="center"/>
    </xf>
    <xf numFmtId="0" fontId="11" fillId="0" borderId="13" xfId="2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/>
    </xf>
    <xf numFmtId="0" fontId="11" fillId="0" borderId="9" xfId="2" applyFont="1" applyFill="1" applyBorder="1" applyAlignment="1">
      <alignment horizontal="left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left" vertical="center" wrapText="1"/>
    </xf>
    <xf numFmtId="0" fontId="11" fillId="0" borderId="15" xfId="2" applyFont="1" applyFill="1" applyBorder="1" applyAlignment="1">
      <alignment horizontal="left" vertical="center" wrapText="1"/>
    </xf>
    <xf numFmtId="0" fontId="11" fillId="0" borderId="15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/>
    </xf>
    <xf numFmtId="0" fontId="4" fillId="0" borderId="0" xfId="2" applyFont="1" applyFill="1" applyBorder="1"/>
    <xf numFmtId="0" fontId="4" fillId="0" borderId="0" xfId="2" applyFont="1" applyFill="1" applyBorder="1" applyAlignment="1">
      <alignment horizontal="center" vertical="center"/>
    </xf>
    <xf numFmtId="0" fontId="15" fillId="0" borderId="16" xfId="2" applyFont="1" applyFill="1" applyBorder="1" applyAlignment="1">
      <alignment vertical="center"/>
    </xf>
    <xf numFmtId="0" fontId="16" fillId="0" borderId="0" xfId="2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 wrapText="1"/>
    </xf>
    <xf numFmtId="0" fontId="15" fillId="0" borderId="0" xfId="2" applyFont="1" applyFill="1" applyBorder="1" applyAlignment="1">
      <alignment vertical="center"/>
    </xf>
    <xf numFmtId="0" fontId="11" fillId="0" borderId="15" xfId="299" applyFont="1" applyFill="1" applyBorder="1" applyAlignment="1">
      <alignment vertical="center" wrapText="1"/>
    </xf>
    <xf numFmtId="0" fontId="11" fillId="0" borderId="15" xfId="299" quotePrefix="1" applyFont="1" applyFill="1" applyBorder="1" applyAlignment="1">
      <alignment horizontal="left" vertical="center"/>
    </xf>
    <xf numFmtId="0" fontId="11" fillId="0" borderId="15" xfId="299" applyFont="1" applyFill="1" applyBorder="1" applyAlignment="1">
      <alignment vertical="center"/>
    </xf>
    <xf numFmtId="1" fontId="11" fillId="0" borderId="14" xfId="299" applyNumberFormat="1" applyFont="1" applyFill="1" applyBorder="1" applyAlignment="1">
      <alignment horizontal="left" vertical="center" wrapText="1"/>
    </xf>
    <xf numFmtId="0" fontId="11" fillId="0" borderId="14" xfId="299" applyFont="1" applyFill="1" applyBorder="1" applyAlignment="1">
      <alignment vertical="center"/>
    </xf>
    <xf numFmtId="14" fontId="11" fillId="0" borderId="14" xfId="299" applyNumberFormat="1" applyFont="1" applyFill="1" applyBorder="1" applyAlignment="1">
      <alignment horizontal="left" vertical="center"/>
    </xf>
    <xf numFmtId="0" fontId="11" fillId="0" borderId="13" xfId="299" applyFont="1" applyFill="1" applyBorder="1" applyAlignment="1">
      <alignment vertical="center"/>
    </xf>
    <xf numFmtId="0" fontId="11" fillId="0" borderId="13" xfId="299" quotePrefix="1" applyFont="1" applyFill="1" applyBorder="1" applyAlignment="1">
      <alignment vertical="center" wrapText="1"/>
    </xf>
    <xf numFmtId="0" fontId="11" fillId="0" borderId="13" xfId="299" quotePrefix="1" applyFont="1" applyFill="1" applyBorder="1" applyAlignment="1">
      <alignment vertical="center"/>
    </xf>
    <xf numFmtId="0" fontId="11" fillId="0" borderId="9" xfId="181" applyFont="1" applyFill="1" applyBorder="1" applyAlignment="1">
      <alignment horizontal="center" vertical="center" wrapText="1"/>
    </xf>
    <xf numFmtId="0" fontId="81" fillId="0" borderId="15" xfId="181" applyFont="1" applyFill="1" applyBorder="1" applyAlignment="1">
      <alignment vertical="center"/>
    </xf>
    <xf numFmtId="0" fontId="81" fillId="0" borderId="15" xfId="148" applyFont="1" applyBorder="1" applyAlignment="1">
      <alignment vertical="center"/>
    </xf>
    <xf numFmtId="0" fontId="82" fillId="0" borderId="0" xfId="181" applyFont="1"/>
    <xf numFmtId="0" fontId="81" fillId="0" borderId="14" xfId="181" applyFont="1" applyFill="1" applyBorder="1" applyAlignment="1">
      <alignment vertical="center" wrapText="1"/>
    </xf>
    <xf numFmtId="0" fontId="81" fillId="0" borderId="14" xfId="181" applyFont="1" applyFill="1" applyBorder="1" applyAlignment="1">
      <alignment vertical="center"/>
    </xf>
    <xf numFmtId="0" fontId="81" fillId="0" borderId="13" xfId="181" applyFont="1" applyFill="1" applyBorder="1" applyAlignment="1">
      <alignment vertical="center" wrapText="1"/>
    </xf>
    <xf numFmtId="0" fontId="81" fillId="0" borderId="15" xfId="140" applyFont="1" applyBorder="1" applyAlignment="1">
      <alignment vertical="center"/>
    </xf>
    <xf numFmtId="0" fontId="81" fillId="0" borderId="0" xfId="140" applyFont="1" applyAlignment="1">
      <alignment vertical="center"/>
    </xf>
    <xf numFmtId="0" fontId="81" fillId="0" borderId="14" xfId="140" applyFont="1" applyBorder="1" applyAlignment="1">
      <alignment vertical="center"/>
    </xf>
    <xf numFmtId="0" fontId="81" fillId="0" borderId="13" xfId="140" applyFont="1" applyBorder="1" applyAlignment="1">
      <alignment vertical="center"/>
    </xf>
    <xf numFmtId="0" fontId="84" fillId="0" borderId="0" xfId="189" applyFont="1" applyFill="1"/>
    <xf numFmtId="0" fontId="4" fillId="0" borderId="14" xfId="189" applyFont="1" applyFill="1" applyBorder="1" applyAlignment="1">
      <alignment horizontal="left" vertical="center" wrapText="1"/>
    </xf>
    <xf numFmtId="0" fontId="4" fillId="0" borderId="35" xfId="189" applyFont="1" applyFill="1" applyBorder="1" applyAlignment="1">
      <alignment horizontal="left" vertical="center" wrapText="1"/>
    </xf>
    <xf numFmtId="0" fontId="4" fillId="0" borderId="15" xfId="189" applyFont="1" applyFill="1" applyBorder="1" applyAlignment="1">
      <alignment vertical="center"/>
    </xf>
    <xf numFmtId="0" fontId="4" fillId="0" borderId="36" xfId="189" applyFont="1" applyFill="1" applyBorder="1" applyAlignment="1">
      <alignment vertical="center" wrapText="1"/>
    </xf>
    <xf numFmtId="0" fontId="4" fillId="0" borderId="13" xfId="189" applyFont="1" applyFill="1" applyBorder="1" applyAlignment="1">
      <alignment vertical="center" wrapText="1"/>
    </xf>
    <xf numFmtId="0" fontId="4" fillId="0" borderId="14" xfId="189" applyFont="1" applyFill="1" applyBorder="1" applyAlignment="1">
      <alignment vertical="center" wrapText="1"/>
    </xf>
    <xf numFmtId="0" fontId="4" fillId="0" borderId="0" xfId="181" applyFont="1" applyFill="1" applyAlignment="1">
      <alignment vertical="center"/>
    </xf>
    <xf numFmtId="0" fontId="4" fillId="0" borderId="35" xfId="140" applyFont="1" applyFill="1" applyBorder="1" applyAlignment="1">
      <alignment vertical="center"/>
    </xf>
    <xf numFmtId="0" fontId="4" fillId="0" borderId="36" xfId="140" applyFont="1" applyFill="1" applyBorder="1" applyAlignment="1">
      <alignment vertical="center"/>
    </xf>
    <xf numFmtId="0" fontId="4" fillId="0" borderId="0" xfId="140" applyFont="1" applyFill="1" applyAlignment="1">
      <alignment vertical="center"/>
    </xf>
    <xf numFmtId="0" fontId="85" fillId="0" borderId="35" xfId="140" applyFont="1" applyFill="1" applyBorder="1" applyAlignment="1">
      <alignment vertical="center"/>
    </xf>
    <xf numFmtId="0" fontId="4" fillId="0" borderId="35" xfId="140" applyFont="1" applyFill="1" applyBorder="1" applyAlignment="1">
      <alignment vertical="center" wrapText="1"/>
    </xf>
    <xf numFmtId="0" fontId="4" fillId="0" borderId="37" xfId="140" applyFont="1" applyFill="1" applyBorder="1" applyAlignment="1">
      <alignment vertical="center"/>
    </xf>
    <xf numFmtId="0" fontId="4" fillId="0" borderId="13" xfId="140" applyFont="1" applyFill="1" applyBorder="1" applyAlignment="1">
      <alignment vertical="center"/>
    </xf>
    <xf numFmtId="0" fontId="4" fillId="0" borderId="15" xfId="140" applyFont="1" applyFill="1" applyBorder="1" applyAlignment="1">
      <alignment vertical="center"/>
    </xf>
    <xf numFmtId="0" fontId="4" fillId="0" borderId="0" xfId="140" applyFont="1" applyFill="1" applyBorder="1" applyAlignment="1">
      <alignment vertical="center"/>
    </xf>
    <xf numFmtId="0" fontId="4" fillId="0" borderId="14" xfId="140" applyFont="1" applyFill="1" applyBorder="1" applyAlignment="1">
      <alignment vertical="center"/>
    </xf>
    <xf numFmtId="0" fontId="85" fillId="0" borderId="15" xfId="140" applyFont="1" applyFill="1" applyBorder="1" applyAlignment="1">
      <alignment vertical="center"/>
    </xf>
    <xf numFmtId="0" fontId="4" fillId="0" borderId="39" xfId="140" applyFont="1" applyFill="1" applyBorder="1" applyAlignment="1">
      <alignment vertical="center"/>
    </xf>
    <xf numFmtId="0" fontId="4" fillId="0" borderId="14" xfId="189" applyFont="1" applyFill="1" applyBorder="1" applyAlignment="1">
      <alignment vertical="center"/>
    </xf>
    <xf numFmtId="0" fontId="4" fillId="0" borderId="35" xfId="189" applyFont="1" applyFill="1" applyBorder="1" applyAlignment="1">
      <alignment vertical="center" wrapText="1"/>
    </xf>
    <xf numFmtId="0" fontId="87" fillId="0" borderId="0" xfId="187" applyFont="1" applyFill="1" applyAlignment="1">
      <alignment vertical="center"/>
    </xf>
    <xf numFmtId="0" fontId="88" fillId="0" borderId="0" xfId="187" applyFont="1" applyFill="1"/>
    <xf numFmtId="0" fontId="86" fillId="0" borderId="9" xfId="187" applyFont="1" applyFill="1" applyBorder="1" applyAlignment="1">
      <alignment vertical="center"/>
    </xf>
    <xf numFmtId="0" fontId="87" fillId="0" borderId="18" xfId="187" quotePrefix="1" applyFont="1" applyFill="1" applyBorder="1" applyAlignment="1">
      <alignment vertical="center"/>
    </xf>
    <xf numFmtId="0" fontId="87" fillId="0" borderId="10" xfId="187" applyFont="1" applyFill="1" applyBorder="1" applyAlignment="1">
      <alignment vertical="center"/>
    </xf>
    <xf numFmtId="0" fontId="87" fillId="0" borderId="9" xfId="187" applyFont="1" applyFill="1" applyBorder="1" applyAlignment="1">
      <alignment vertical="center"/>
    </xf>
    <xf numFmtId="0" fontId="87" fillId="0" borderId="35" xfId="187" applyFont="1" applyFill="1" applyBorder="1" applyAlignment="1">
      <alignment vertical="center"/>
    </xf>
    <xf numFmtId="0" fontId="89" fillId="0" borderId="0" xfId="187" applyFont="1" applyFill="1" applyAlignment="1">
      <alignment vertical="center"/>
    </xf>
    <xf numFmtId="0" fontId="89" fillId="0" borderId="9" xfId="161" applyFont="1" applyFill="1" applyBorder="1" applyAlignment="1">
      <alignment horizontal="left" vertical="center" wrapText="1"/>
    </xf>
    <xf numFmtId="0" fontId="89" fillId="0" borderId="9" xfId="161" applyFont="1" applyFill="1" applyBorder="1" applyAlignment="1">
      <alignment horizontal="center" vertical="center"/>
    </xf>
    <xf numFmtId="0" fontId="89" fillId="0" borderId="9" xfId="161" applyFont="1" applyFill="1" applyBorder="1" applyAlignment="1">
      <alignment horizontal="left" vertical="center"/>
    </xf>
    <xf numFmtId="0" fontId="89" fillId="0" borderId="9" xfId="161" applyFont="1" applyFill="1" applyBorder="1" applyAlignment="1">
      <alignment vertical="center" wrapText="1"/>
    </xf>
    <xf numFmtId="0" fontId="89" fillId="0" borderId="9" xfId="161" applyFont="1" applyFill="1" applyBorder="1" applyAlignment="1">
      <alignment horizontal="center" vertical="center" wrapText="1"/>
    </xf>
    <xf numFmtId="0" fontId="90" fillId="0" borderId="9" xfId="1" applyFont="1" applyFill="1" applyBorder="1" applyAlignment="1" applyProtection="1">
      <alignment horizontal="center" vertical="center" wrapText="1"/>
      <protection locked="0"/>
    </xf>
    <xf numFmtId="0" fontId="89" fillId="0" borderId="9" xfId="161" quotePrefix="1" applyFont="1" applyFill="1" applyBorder="1" applyAlignment="1">
      <alignment vertical="center" wrapText="1"/>
    </xf>
    <xf numFmtId="0" fontId="89" fillId="0" borderId="9" xfId="161" quotePrefix="1" applyFont="1" applyFill="1" applyBorder="1" applyAlignment="1">
      <alignment horizontal="center" vertical="center" wrapText="1"/>
    </xf>
    <xf numFmtId="0" fontId="86" fillId="0" borderId="0" xfId="187" applyFont="1" applyFill="1" applyAlignment="1">
      <alignment vertical="center"/>
    </xf>
    <xf numFmtId="0" fontId="96" fillId="0" borderId="0" xfId="187" applyFont="1" applyFill="1" applyAlignment="1">
      <alignment vertical="center"/>
    </xf>
    <xf numFmtId="0" fontId="89" fillId="0" borderId="9" xfId="150" applyFont="1" applyFill="1" applyBorder="1" applyAlignment="1">
      <alignment horizontal="center" vertical="center"/>
    </xf>
    <xf numFmtId="0" fontId="89" fillId="0" borderId="9" xfId="150" applyFont="1" applyFill="1" applyBorder="1"/>
    <xf numFmtId="0" fontId="89" fillId="0" borderId="0" xfId="150" applyFont="1" applyFill="1"/>
    <xf numFmtId="0" fontId="88" fillId="0" borderId="0" xfId="187" applyFont="1" applyFill="1" applyAlignment="1">
      <alignment horizontal="center"/>
    </xf>
    <xf numFmtId="0" fontId="99" fillId="0" borderId="0" xfId="140" applyFont="1" applyFill="1" applyBorder="1" applyAlignment="1">
      <alignment vertical="center"/>
    </xf>
    <xf numFmtId="0" fontId="99" fillId="0" borderId="0" xfId="140" applyFont="1" applyFill="1" applyAlignment="1">
      <alignment vertical="center"/>
    </xf>
    <xf numFmtId="0" fontId="98" fillId="29" borderId="11" xfId="150" applyFont="1" applyFill="1" applyBorder="1" applyAlignment="1">
      <alignment vertical="center"/>
    </xf>
    <xf numFmtId="0" fontId="98" fillId="29" borderId="11" xfId="150" quotePrefix="1" applyFont="1" applyFill="1" applyBorder="1" applyAlignment="1">
      <alignment horizontal="left" vertical="center"/>
    </xf>
    <xf numFmtId="0" fontId="100" fillId="29" borderId="11" xfId="150" applyFont="1" applyFill="1" applyBorder="1" applyAlignment="1">
      <alignment horizontal="left" vertical="center"/>
    </xf>
    <xf numFmtId="0" fontId="98" fillId="0" borderId="16" xfId="140" applyFont="1" applyFill="1" applyBorder="1" applyAlignment="1">
      <alignment vertical="center"/>
    </xf>
    <xf numFmtId="0" fontId="101" fillId="0" borderId="0" xfId="140" applyFont="1" applyFill="1" applyBorder="1" applyAlignment="1">
      <alignment vertical="center"/>
    </xf>
    <xf numFmtId="0" fontId="101" fillId="0" borderId="0" xfId="140" applyFont="1" applyFill="1" applyAlignment="1">
      <alignment vertical="center"/>
    </xf>
    <xf numFmtId="0" fontId="98" fillId="0" borderId="16" xfId="140" applyFont="1" applyFill="1" applyBorder="1" applyAlignment="1">
      <alignment horizontal="center" vertical="center"/>
    </xf>
    <xf numFmtId="0" fontId="98" fillId="0" borderId="18" xfId="140" applyFont="1" applyFill="1" applyBorder="1" applyAlignment="1">
      <alignment vertical="center"/>
    </xf>
    <xf numFmtId="0" fontId="98" fillId="0" borderId="0" xfId="140" applyFont="1" applyFill="1" applyBorder="1" applyAlignment="1">
      <alignment horizontal="center" vertical="center"/>
    </xf>
    <xf numFmtId="0" fontId="98" fillId="0" borderId="25" xfId="140" applyFont="1" applyFill="1" applyBorder="1" applyAlignment="1">
      <alignment vertical="center" wrapText="1"/>
    </xf>
    <xf numFmtId="0" fontId="98" fillId="0" borderId="38" xfId="140" applyFont="1" applyFill="1" applyBorder="1" applyAlignment="1">
      <alignment vertical="center"/>
    </xf>
    <xf numFmtId="0" fontId="98" fillId="0" borderId="39" xfId="140" applyFont="1" applyFill="1" applyBorder="1" applyAlignment="1">
      <alignment vertical="center"/>
    </xf>
    <xf numFmtId="0" fontId="89" fillId="0" borderId="0" xfId="140" applyFont="1" applyFill="1" applyBorder="1" applyAlignment="1">
      <alignment vertical="center"/>
    </xf>
    <xf numFmtId="0" fontId="89" fillId="0" borderId="0" xfId="140" applyFont="1" applyFill="1" applyAlignment="1">
      <alignment vertical="center"/>
    </xf>
    <xf numFmtId="0" fontId="98" fillId="0" borderId="36" xfId="140" applyFont="1" applyFill="1" applyBorder="1" applyAlignment="1">
      <alignment horizontal="center" vertical="center" wrapText="1"/>
    </xf>
    <xf numFmtId="0" fontId="98" fillId="0" borderId="36" xfId="140" applyFont="1" applyFill="1" applyBorder="1" applyAlignment="1">
      <alignment horizontal="center" vertical="center"/>
    </xf>
    <xf numFmtId="0" fontId="98" fillId="0" borderId="0" xfId="140" applyFont="1" applyFill="1" applyBorder="1" applyAlignment="1">
      <alignment vertical="center"/>
    </xf>
    <xf numFmtId="0" fontId="98" fillId="0" borderId="0" xfId="140" applyFont="1" applyFill="1" applyAlignment="1">
      <alignment vertical="center"/>
    </xf>
    <xf numFmtId="0" fontId="98" fillId="0" borderId="35" xfId="140" applyFont="1" applyFill="1" applyBorder="1" applyAlignment="1">
      <alignment horizontal="center" vertical="center" wrapText="1"/>
    </xf>
    <xf numFmtId="0" fontId="98" fillId="0" borderId="35" xfId="140" applyFont="1" applyFill="1" applyBorder="1" applyAlignment="1">
      <alignment horizontal="center" vertical="center"/>
    </xf>
    <xf numFmtId="0" fontId="98" fillId="0" borderId="15" xfId="140" quotePrefix="1" applyFont="1" applyFill="1" applyBorder="1" applyAlignment="1">
      <alignment horizontal="center" vertical="center"/>
    </xf>
    <xf numFmtId="0" fontId="98" fillId="0" borderId="9" xfId="140" applyFont="1" applyFill="1" applyBorder="1" applyAlignment="1">
      <alignment horizontal="centerContinuous" vertical="center"/>
    </xf>
    <xf numFmtId="0" fontId="98" fillId="0" borderId="12" xfId="140" applyFont="1" applyFill="1" applyBorder="1" applyAlignment="1">
      <alignment horizontal="centerContinuous" vertical="center"/>
    </xf>
    <xf numFmtId="0" fontId="98" fillId="0" borderId="37" xfId="140" applyFont="1" applyFill="1" applyBorder="1" applyAlignment="1">
      <alignment horizontal="center" vertical="center" wrapText="1"/>
    </xf>
    <xf numFmtId="0" fontId="98" fillId="0" borderId="37" xfId="140" applyFont="1" applyFill="1" applyBorder="1" applyAlignment="1">
      <alignment horizontal="center" vertical="center"/>
    </xf>
    <xf numFmtId="0" fontId="98" fillId="0" borderId="13" xfId="140" quotePrefix="1" applyFont="1" applyFill="1" applyBorder="1" applyAlignment="1">
      <alignment horizontal="center" vertical="center" wrapText="1"/>
    </xf>
    <xf numFmtId="0" fontId="102" fillId="0" borderId="15" xfId="140" quotePrefix="1" applyFont="1" applyFill="1" applyBorder="1" applyAlignment="1">
      <alignment horizontal="center" vertical="center"/>
    </xf>
    <xf numFmtId="0" fontId="103" fillId="0" borderId="0" xfId="140" applyFont="1" applyFill="1" applyAlignment="1">
      <alignment vertical="center"/>
    </xf>
    <xf numFmtId="0" fontId="102" fillId="0" borderId="9" xfId="193" applyFont="1" applyFill="1" applyBorder="1" applyAlignment="1">
      <alignment horizontal="center" vertical="center" wrapText="1"/>
    </xf>
    <xf numFmtId="0" fontId="102" fillId="0" borderId="9" xfId="193" applyFont="1" applyFill="1" applyBorder="1" applyAlignment="1">
      <alignment horizontal="center" vertical="center"/>
    </xf>
    <xf numFmtId="0" fontId="102" fillId="0" borderId="0" xfId="193" applyFont="1" applyFill="1" applyBorder="1" applyAlignment="1">
      <alignment vertical="center"/>
    </xf>
    <xf numFmtId="0" fontId="102" fillId="0" borderId="0" xfId="193" applyFont="1" applyFill="1" applyAlignment="1">
      <alignment vertical="center"/>
    </xf>
    <xf numFmtId="9" fontId="102" fillId="0" borderId="9" xfId="150" applyNumberFormat="1" applyFont="1" applyFill="1" applyBorder="1" applyAlignment="1">
      <alignment horizontal="center" vertical="center"/>
    </xf>
    <xf numFmtId="1" fontId="102" fillId="0" borderId="15" xfId="140" applyNumberFormat="1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left" vertical="center"/>
    </xf>
    <xf numFmtId="0" fontId="102" fillId="0" borderId="14" xfId="140" quotePrefix="1" applyFont="1" applyFill="1" applyBorder="1" applyAlignment="1">
      <alignment horizontal="center" vertical="center"/>
    </xf>
    <xf numFmtId="0" fontId="102" fillId="0" borderId="36" xfId="140" applyFont="1" applyFill="1" applyBorder="1" applyAlignment="1">
      <alignment horizontal="center" vertical="center"/>
    </xf>
    <xf numFmtId="0" fontId="102" fillId="0" borderId="35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left" vertical="center"/>
    </xf>
    <xf numFmtId="0" fontId="11" fillId="0" borderId="0" xfId="140" applyFont="1" applyFill="1" applyAlignment="1">
      <alignment vertical="center"/>
    </xf>
    <xf numFmtId="0" fontId="4" fillId="0" borderId="0" xfId="140" applyFont="1" applyFill="1" applyAlignment="1">
      <alignment horizontal="left" vertical="center"/>
    </xf>
    <xf numFmtId="0" fontId="4" fillId="0" borderId="0" xfId="140" applyFont="1" applyFill="1" applyAlignment="1">
      <alignment horizontal="center" vertical="center"/>
    </xf>
    <xf numFmtId="0" fontId="15" fillId="0" borderId="0" xfId="140" applyFont="1" applyFill="1"/>
    <xf numFmtId="0" fontId="4" fillId="0" borderId="0" xfId="140" applyFont="1"/>
    <xf numFmtId="0" fontId="11" fillId="0" borderId="49" xfId="140" applyFont="1" applyBorder="1" applyAlignment="1">
      <alignment horizontal="center" vertical="center"/>
    </xf>
    <xf numFmtId="0" fontId="11" fillId="0" borderId="50" xfId="140" applyFont="1" applyBorder="1" applyAlignment="1">
      <alignment horizontal="center" vertical="center" wrapText="1"/>
    </xf>
    <xf numFmtId="0" fontId="11" fillId="0" borderId="51" xfId="140" applyFont="1" applyBorder="1" applyAlignment="1">
      <alignment horizontal="center" vertical="center"/>
    </xf>
    <xf numFmtId="0" fontId="4" fillId="0" borderId="54" xfId="140" applyFont="1" applyBorder="1" applyAlignment="1">
      <alignment horizontal="center" vertical="center"/>
    </xf>
    <xf numFmtId="0" fontId="4" fillId="0" borderId="35" xfId="140" applyFont="1" applyBorder="1" applyAlignment="1">
      <alignment horizontal="center" vertical="center" wrapText="1"/>
    </xf>
    <xf numFmtId="0" fontId="4" fillId="0" borderId="57" xfId="140" applyFont="1" applyBorder="1" applyAlignment="1">
      <alignment vertical="center"/>
    </xf>
    <xf numFmtId="0" fontId="4" fillId="0" borderId="58" xfId="140" applyFont="1" applyBorder="1" applyAlignment="1">
      <alignment horizontal="center" vertical="center"/>
    </xf>
    <xf numFmtId="0" fontId="4" fillId="0" borderId="12" xfId="140" applyFont="1" applyBorder="1" applyAlignment="1">
      <alignment horizontal="center" vertical="center" wrapText="1"/>
    </xf>
    <xf numFmtId="0" fontId="4" fillId="0" borderId="40" xfId="140" applyFont="1" applyBorder="1" applyAlignment="1">
      <alignment vertical="center"/>
    </xf>
    <xf numFmtId="0" fontId="4" fillId="0" borderId="9" xfId="140" applyFont="1" applyBorder="1" applyAlignment="1">
      <alignment horizontal="center" vertical="center" wrapText="1"/>
    </xf>
    <xf numFmtId="0" fontId="4" fillId="0" borderId="59" xfId="140" applyFont="1" applyBorder="1" applyAlignment="1">
      <alignment horizontal="center" vertical="center"/>
    </xf>
    <xf numFmtId="0" fontId="4" fillId="0" borderId="62" xfId="140" applyFont="1" applyBorder="1" applyAlignment="1">
      <alignment vertical="center"/>
    </xf>
    <xf numFmtId="0" fontId="4" fillId="0" borderId="63" xfId="140" applyFont="1" applyBorder="1" applyAlignment="1">
      <alignment horizontal="center" vertical="center"/>
    </xf>
    <xf numFmtId="9" fontId="4" fillId="0" borderId="66" xfId="140" applyNumberFormat="1" applyFont="1" applyBorder="1" applyAlignment="1">
      <alignment horizontal="center" vertical="center" wrapText="1"/>
    </xf>
    <xf numFmtId="0" fontId="4" fillId="0" borderId="67" xfId="140" applyFont="1" applyBorder="1" applyAlignment="1">
      <alignment horizontal="left" vertical="center"/>
    </xf>
    <xf numFmtId="0" fontId="4" fillId="0" borderId="68" xfId="140" applyFont="1" applyBorder="1" applyAlignment="1">
      <alignment horizontal="center" vertical="center"/>
    </xf>
    <xf numFmtId="9" fontId="4" fillId="0" borderId="9" xfId="140" applyNumberFormat="1" applyFont="1" applyBorder="1" applyAlignment="1">
      <alignment horizontal="center" vertical="center" wrapText="1"/>
    </xf>
    <xf numFmtId="0" fontId="4" fillId="0" borderId="57" xfId="140" applyFont="1" applyBorder="1" applyAlignment="1">
      <alignment horizontal="left" vertical="center"/>
    </xf>
    <xf numFmtId="0" fontId="4" fillId="0" borderId="1" xfId="140" applyFont="1" applyBorder="1" applyAlignment="1">
      <alignment horizontal="center" vertical="center"/>
    </xf>
    <xf numFmtId="0" fontId="4" fillId="0" borderId="2" xfId="140" applyFont="1" applyBorder="1" applyAlignment="1">
      <alignment horizontal="left" vertical="center"/>
    </xf>
    <xf numFmtId="0" fontId="4" fillId="18" borderId="0" xfId="140" applyFont="1" applyFill="1" applyBorder="1" applyAlignment="1">
      <alignment vertical="center"/>
    </xf>
    <xf numFmtId="0" fontId="9" fillId="0" borderId="68" xfId="202" applyFont="1" applyFill="1" applyBorder="1" applyAlignment="1">
      <alignment horizontal="center" vertical="center"/>
    </xf>
    <xf numFmtId="0" fontId="9" fillId="0" borderId="13" xfId="140" applyFont="1" applyBorder="1" applyAlignment="1">
      <alignment horizontal="center" vertical="center" wrapText="1"/>
    </xf>
    <xf numFmtId="0" fontId="4" fillId="0" borderId="57" xfId="140" applyFont="1" applyBorder="1" applyAlignment="1">
      <alignment horizontal="center" vertical="center"/>
    </xf>
    <xf numFmtId="0" fontId="106" fillId="0" borderId="0" xfId="150" applyFont="1" applyAlignment="1">
      <alignment vertical="center"/>
    </xf>
    <xf numFmtId="0" fontId="87" fillId="0" borderId="9" xfId="187" applyFont="1" applyFill="1" applyBorder="1" applyAlignment="1">
      <alignment horizontal="center" vertical="center" wrapText="1"/>
    </xf>
    <xf numFmtId="0" fontId="89" fillId="0" borderId="9" xfId="187" applyFont="1" applyFill="1" applyBorder="1" applyAlignment="1">
      <alignment horizontal="center" vertical="center" wrapText="1"/>
    </xf>
    <xf numFmtId="0" fontId="89" fillId="0" borderId="9" xfId="187" applyFont="1" applyFill="1" applyBorder="1" applyAlignment="1">
      <alignment vertical="center" wrapText="1"/>
    </xf>
    <xf numFmtId="0" fontId="89" fillId="0" borderId="9" xfId="187" applyFont="1" applyFill="1" applyBorder="1" applyAlignment="1">
      <alignment horizontal="left" vertical="center" wrapText="1"/>
    </xf>
    <xf numFmtId="0" fontId="89" fillId="0" borderId="9" xfId="187" applyFont="1" applyFill="1" applyBorder="1" applyAlignment="1">
      <alignment horizontal="centerContinuous" vertical="center"/>
    </xf>
    <xf numFmtId="0" fontId="89" fillId="0" borderId="9" xfId="187" applyFont="1" applyFill="1" applyBorder="1" applyAlignment="1">
      <alignment horizontal="center" vertical="center"/>
    </xf>
    <xf numFmtId="0" fontId="89" fillId="0" borderId="12" xfId="187" applyFont="1" applyFill="1" applyBorder="1" applyAlignment="1">
      <alignment horizontal="center" vertical="center"/>
    </xf>
    <xf numFmtId="0" fontId="89" fillId="0" borderId="0" xfId="187" applyFont="1" applyFill="1"/>
    <xf numFmtId="0" fontId="11" fillId="0" borderId="14" xfId="181" applyFont="1" applyFill="1" applyBorder="1" applyAlignment="1">
      <alignment vertical="center" wrapText="1"/>
    </xf>
    <xf numFmtId="0" fontId="4" fillId="0" borderId="14" xfId="181" applyFont="1" applyFill="1" applyBorder="1" applyAlignment="1">
      <alignment vertical="center" wrapText="1"/>
    </xf>
    <xf numFmtId="0" fontId="4" fillId="0" borderId="0" xfId="181" applyFont="1" applyFill="1" applyBorder="1" applyAlignment="1">
      <alignment vertical="center"/>
    </xf>
    <xf numFmtId="0" fontId="4" fillId="0" borderId="13" xfId="181" applyFont="1" applyFill="1" applyBorder="1" applyAlignment="1">
      <alignment vertical="center"/>
    </xf>
    <xf numFmtId="0" fontId="11" fillId="0" borderId="13" xfId="299" applyFont="1" applyFill="1" applyBorder="1" applyAlignment="1">
      <alignment vertical="center" wrapText="1"/>
    </xf>
    <xf numFmtId="0" fontId="93" fillId="0" borderId="9" xfId="140" applyFont="1" applyFill="1" applyBorder="1" applyAlignment="1">
      <alignment horizontal="center" vertical="center" wrapText="1"/>
    </xf>
    <xf numFmtId="0" fontId="93" fillId="0" borderId="9" xfId="140" applyFont="1" applyFill="1" applyBorder="1" applyAlignment="1">
      <alignment horizontal="center" vertical="center"/>
    </xf>
    <xf numFmtId="0" fontId="93" fillId="0" borderId="9" xfId="140" applyFont="1" applyFill="1" applyBorder="1" applyAlignment="1" applyProtection="1">
      <alignment horizontal="center" vertical="center" wrapText="1"/>
      <protection locked="0"/>
    </xf>
    <xf numFmtId="0" fontId="94" fillId="0" borderId="9" xfId="140" applyFont="1" applyFill="1" applyBorder="1" applyAlignment="1">
      <alignment vertical="center" wrapText="1"/>
    </xf>
    <xf numFmtId="0" fontId="94" fillId="0" borderId="9" xfId="140" applyFont="1" applyFill="1" applyBorder="1" applyAlignment="1">
      <alignment horizontal="center" vertical="center" wrapText="1"/>
    </xf>
    <xf numFmtId="0" fontId="94" fillId="0" borderId="9" xfId="140" applyFont="1" applyFill="1" applyBorder="1" applyAlignment="1">
      <alignment horizontal="left" vertical="center" wrapText="1"/>
    </xf>
    <xf numFmtId="0" fontId="94" fillId="0" borderId="9" xfId="140" applyFont="1" applyFill="1" applyBorder="1" applyAlignment="1">
      <alignment horizontal="centerContinuous" vertical="center"/>
    </xf>
    <xf numFmtId="0" fontId="93" fillId="0" borderId="0" xfId="140" applyFont="1" applyFill="1" applyAlignment="1" applyProtection="1">
      <alignment horizontal="center" vertical="center" wrapText="1"/>
      <protection locked="0"/>
    </xf>
    <xf numFmtId="0" fontId="107" fillId="0" borderId="14" xfId="140" applyFont="1" applyFill="1" applyBorder="1" applyAlignment="1">
      <alignment horizontal="left" vertical="center"/>
    </xf>
    <xf numFmtId="0" fontId="107" fillId="0" borderId="14" xfId="140" applyFont="1" applyFill="1" applyBorder="1" applyAlignment="1">
      <alignment vertical="center"/>
    </xf>
    <xf numFmtId="0" fontId="107" fillId="0" borderId="14" xfId="140" applyFont="1" applyFill="1" applyBorder="1" applyAlignment="1">
      <alignment horizontal="center" vertical="center"/>
    </xf>
    <xf numFmtId="9" fontId="107" fillId="0" borderId="0" xfId="140" applyNumberFormat="1" applyFont="1" applyBorder="1" applyAlignment="1">
      <alignment horizontal="center" vertical="center"/>
    </xf>
    <xf numFmtId="0" fontId="107" fillId="0" borderId="13" xfId="140" applyFont="1" applyFill="1" applyBorder="1" applyAlignment="1">
      <alignment horizontal="center" vertical="center"/>
    </xf>
    <xf numFmtId="0" fontId="90" fillId="0" borderId="0" xfId="150" applyFont="1" applyFill="1" applyAlignment="1">
      <alignment vertical="center"/>
    </xf>
    <xf numFmtId="0" fontId="102" fillId="0" borderId="13" xfId="193" applyFont="1" applyFill="1" applyBorder="1" applyAlignment="1">
      <alignment horizontal="center" vertical="center" wrapText="1"/>
    </xf>
    <xf numFmtId="0" fontId="102" fillId="0" borderId="13" xfId="193" applyFont="1" applyFill="1" applyBorder="1" applyAlignment="1">
      <alignment horizontal="center" vertical="center"/>
    </xf>
    <xf numFmtId="9" fontId="102" fillId="0" borderId="13" xfId="193" applyNumberFormat="1" applyFont="1" applyFill="1" applyBorder="1" applyAlignment="1">
      <alignment horizontal="center" vertical="center"/>
    </xf>
    <xf numFmtId="0" fontId="102" fillId="0" borderId="13" xfId="193" quotePrefix="1" applyFont="1" applyFill="1" applyBorder="1" applyAlignment="1">
      <alignment horizontal="center" vertical="center" wrapText="1"/>
    </xf>
    <xf numFmtId="0" fontId="102" fillId="0" borderId="9" xfId="193" quotePrefix="1" applyFont="1" applyFill="1" applyBorder="1" applyAlignment="1">
      <alignment horizontal="center" vertical="center" wrapText="1"/>
    </xf>
    <xf numFmtId="0" fontId="102" fillId="0" borderId="13" xfId="140" quotePrefix="1" applyFont="1" applyFill="1" applyBorder="1" applyAlignment="1">
      <alignment horizontal="center" vertical="center"/>
    </xf>
    <xf numFmtId="0" fontId="100" fillId="29" borderId="44" xfId="150" applyFont="1" applyFill="1" applyBorder="1" applyAlignment="1">
      <alignment vertical="center"/>
    </xf>
    <xf numFmtId="0" fontId="98" fillId="0" borderId="74" xfId="140" applyFont="1" applyFill="1" applyBorder="1" applyAlignment="1">
      <alignment vertical="center" wrapText="1"/>
    </xf>
    <xf numFmtId="0" fontId="102" fillId="0" borderId="57" xfId="193" applyFont="1" applyFill="1" applyBorder="1" applyAlignment="1">
      <alignment vertical="center" wrapText="1"/>
    </xf>
    <xf numFmtId="0" fontId="98" fillId="0" borderId="58" xfId="193" applyFont="1" applyFill="1" applyBorder="1" applyAlignment="1">
      <alignment horizontal="center" vertical="center"/>
    </xf>
    <xf numFmtId="0" fontId="102" fillId="0" borderId="40" xfId="193" applyFont="1" applyFill="1" applyBorder="1" applyAlignment="1">
      <alignment vertical="center" wrapText="1"/>
    </xf>
    <xf numFmtId="0" fontId="98" fillId="0" borderId="71" xfId="193" applyFont="1" applyFill="1" applyBorder="1" applyAlignment="1">
      <alignment horizontal="center" vertical="center"/>
    </xf>
    <xf numFmtId="0" fontId="102" fillId="0" borderId="17" xfId="193" applyFont="1" applyFill="1" applyBorder="1" applyAlignment="1">
      <alignment horizontal="center" vertical="center" wrapText="1"/>
    </xf>
    <xf numFmtId="0" fontId="102" fillId="0" borderId="17" xfId="151" applyFont="1" applyFill="1" applyBorder="1" applyAlignment="1">
      <alignment horizontal="center" vertical="center"/>
    </xf>
    <xf numFmtId="0" fontId="102" fillId="0" borderId="17" xfId="151" applyFont="1" applyFill="1" applyBorder="1" applyAlignment="1">
      <alignment horizontal="center" vertical="center" wrapText="1"/>
    </xf>
    <xf numFmtId="9" fontId="102" fillId="0" borderId="17" xfId="151" applyNumberFormat="1" applyFont="1" applyFill="1" applyBorder="1" applyAlignment="1">
      <alignment horizontal="center" vertical="center"/>
    </xf>
    <xf numFmtId="0" fontId="102" fillId="0" borderId="17" xfId="193" quotePrefix="1" applyFont="1" applyFill="1" applyBorder="1" applyAlignment="1">
      <alignment horizontal="center" vertical="center" wrapText="1"/>
    </xf>
    <xf numFmtId="0" fontId="102" fillId="0" borderId="72" xfId="193" applyFont="1" applyFill="1" applyBorder="1" applyAlignment="1">
      <alignment vertical="center" wrapText="1"/>
    </xf>
    <xf numFmtId="0" fontId="87" fillId="0" borderId="10" xfId="187" applyFont="1" applyFill="1" applyBorder="1" applyAlignment="1">
      <alignment horizontal="left" vertical="center"/>
    </xf>
    <xf numFmtId="0" fontId="102" fillId="0" borderId="15" xfId="140" applyFont="1" applyFill="1" applyBorder="1" applyAlignment="1">
      <alignment horizontal="left" vertical="center" wrapText="1"/>
    </xf>
    <xf numFmtId="0" fontId="11" fillId="0" borderId="0" xfId="300" applyFont="1" applyFill="1" applyAlignment="1">
      <alignment vertical="center"/>
    </xf>
    <xf numFmtId="0" fontId="11" fillId="0" borderId="15" xfId="300" applyFont="1" applyFill="1" applyBorder="1" applyAlignment="1">
      <alignment vertical="center" wrapText="1"/>
    </xf>
    <xf numFmtId="0" fontId="4" fillId="0" borderId="0" xfId="300" applyFont="1" applyFill="1" applyAlignment="1">
      <alignment vertical="center"/>
    </xf>
    <xf numFmtId="14" fontId="11" fillId="0" borderId="14" xfId="300" applyNumberFormat="1" applyFont="1" applyFill="1" applyBorder="1" applyAlignment="1">
      <alignment horizontal="left" vertical="center"/>
    </xf>
    <xf numFmtId="0" fontId="11" fillId="0" borderId="14" xfId="300" applyFont="1" applyFill="1" applyBorder="1" applyAlignment="1">
      <alignment vertical="center" wrapText="1"/>
    </xf>
    <xf numFmtId="0" fontId="11" fillId="0" borderId="13" xfId="300" applyFont="1" applyFill="1" applyBorder="1" applyAlignment="1">
      <alignment vertical="center" wrapText="1"/>
    </xf>
    <xf numFmtId="0" fontId="11" fillId="0" borderId="0" xfId="300" applyFont="1" applyFill="1" applyBorder="1" applyAlignment="1">
      <alignment vertical="center"/>
    </xf>
    <xf numFmtId="0" fontId="11" fillId="0" borderId="15" xfId="181" applyFont="1" applyFill="1" applyBorder="1" applyAlignment="1">
      <alignment vertical="center" wrapText="1"/>
    </xf>
    <xf numFmtId="0" fontId="11" fillId="0" borderId="13" xfId="181" applyFont="1" applyFill="1" applyBorder="1" applyAlignment="1">
      <alignment vertical="center" wrapText="1"/>
    </xf>
    <xf numFmtId="0" fontId="107" fillId="0" borderId="15" xfId="140" applyFont="1" applyFill="1" applyBorder="1" applyAlignment="1">
      <alignment vertical="center"/>
    </xf>
    <xf numFmtId="0" fontId="107" fillId="0" borderId="38" xfId="140" applyFont="1" applyFill="1" applyBorder="1" applyAlignment="1">
      <alignment horizontal="center" vertical="center"/>
    </xf>
    <xf numFmtId="0" fontId="13" fillId="0" borderId="10" xfId="182" applyFont="1" applyFill="1" applyBorder="1" applyAlignment="1">
      <alignment vertical="center"/>
    </xf>
    <xf numFmtId="0" fontId="105" fillId="0" borderId="11" xfId="196" applyFont="1" applyFill="1" applyBorder="1" applyAlignment="1">
      <alignment vertical="center"/>
    </xf>
    <xf numFmtId="0" fontId="13" fillId="0" borderId="12" xfId="182" applyFont="1" applyFill="1" applyBorder="1" applyAlignment="1">
      <alignment vertical="center"/>
    </xf>
    <xf numFmtId="0" fontId="105" fillId="0" borderId="0" xfId="196" applyFont="1" applyFill="1" applyBorder="1" applyAlignment="1">
      <alignment vertical="center"/>
    </xf>
    <xf numFmtId="0" fontId="105" fillId="0" borderId="38" xfId="183" applyFont="1" applyBorder="1" applyAlignment="1">
      <alignment horizontal="center" vertical="center"/>
    </xf>
    <xf numFmtId="0" fontId="105" fillId="0" borderId="16" xfId="183" applyFont="1" applyBorder="1" applyAlignment="1">
      <alignment vertical="top" wrapText="1"/>
    </xf>
    <xf numFmtId="0" fontId="105" fillId="0" borderId="0" xfId="183" applyFont="1" applyBorder="1" applyAlignment="1">
      <alignment vertical="center"/>
    </xf>
    <xf numFmtId="0" fontId="105" fillId="0" borderId="18" xfId="183" applyFont="1" applyBorder="1" applyAlignment="1">
      <alignment vertical="center"/>
    </xf>
    <xf numFmtId="0" fontId="105" fillId="0" borderId="25" xfId="183" applyFont="1" applyBorder="1" applyAlignment="1">
      <alignment horizontal="center" vertical="center"/>
    </xf>
    <xf numFmtId="14" fontId="105" fillId="0" borderId="25" xfId="183" quotePrefix="1" applyNumberFormat="1" applyFont="1" applyBorder="1" applyAlignment="1">
      <alignment vertical="center"/>
    </xf>
    <xf numFmtId="0" fontId="105" fillId="0" borderId="35" xfId="183" applyFont="1" applyBorder="1" applyAlignment="1">
      <alignment vertical="center"/>
    </xf>
    <xf numFmtId="0" fontId="105" fillId="0" borderId="0" xfId="183" applyFont="1" applyBorder="1" applyAlignment="1">
      <alignment horizontal="center" vertical="center"/>
    </xf>
    <xf numFmtId="0" fontId="105" fillId="0" borderId="0" xfId="183" applyFont="1" applyFill="1" applyBorder="1" applyAlignment="1">
      <alignment vertical="center"/>
    </xf>
    <xf numFmtId="177" fontId="105" fillId="0" borderId="37" xfId="183" applyNumberFormat="1" applyFont="1" applyBorder="1" applyAlignment="1">
      <alignment horizontal="center" vertical="center"/>
    </xf>
    <xf numFmtId="14" fontId="105" fillId="0" borderId="0" xfId="183" applyNumberFormat="1" applyFont="1" applyBorder="1" applyAlignment="1">
      <alignment vertical="center"/>
    </xf>
    <xf numFmtId="0" fontId="105" fillId="0" borderId="78" xfId="183" applyFont="1" applyBorder="1" applyAlignment="1">
      <alignment vertical="center"/>
    </xf>
    <xf numFmtId="0" fontId="105" fillId="0" borderId="79" xfId="183" applyFont="1" applyBorder="1" applyAlignment="1">
      <alignment vertical="center"/>
    </xf>
    <xf numFmtId="0" fontId="105" fillId="0" borderId="80" xfId="183" applyFont="1" applyBorder="1" applyAlignment="1">
      <alignment vertical="center"/>
    </xf>
    <xf numFmtId="0" fontId="13" fillId="0" borderId="0" xfId="183" applyFont="1" applyBorder="1" applyAlignment="1">
      <alignment vertical="center"/>
    </xf>
    <xf numFmtId="0" fontId="105" fillId="0" borderId="0" xfId="183" applyFont="1" applyBorder="1" applyAlignment="1">
      <alignment horizontal="left" vertical="center"/>
    </xf>
    <xf numFmtId="0" fontId="105" fillId="0" borderId="25" xfId="183" applyFont="1" applyFill="1" applyBorder="1" applyAlignment="1">
      <alignment vertical="center"/>
    </xf>
    <xf numFmtId="0" fontId="105" fillId="0" borderId="35" xfId="183" applyFont="1" applyFill="1" applyBorder="1" applyAlignment="1">
      <alignment vertical="center"/>
    </xf>
    <xf numFmtId="0" fontId="13" fillId="0" borderId="18" xfId="183" applyFont="1" applyBorder="1" applyAlignment="1">
      <alignment vertical="center"/>
    </xf>
    <xf numFmtId="0" fontId="105" fillId="0" borderId="14" xfId="183" applyFont="1" applyBorder="1" applyAlignment="1">
      <alignment vertical="center"/>
    </xf>
    <xf numFmtId="0" fontId="105" fillId="0" borderId="37" xfId="183" applyFont="1" applyBorder="1" applyAlignment="1">
      <alignment vertical="center"/>
    </xf>
    <xf numFmtId="0" fontId="105" fillId="0" borderId="25" xfId="183" applyFont="1" applyBorder="1" applyAlignment="1">
      <alignment vertical="center"/>
    </xf>
    <xf numFmtId="0" fontId="105" fillId="0" borderId="11" xfId="183" applyFont="1" applyBorder="1" applyAlignment="1">
      <alignment vertical="center"/>
    </xf>
    <xf numFmtId="14" fontId="105" fillId="0" borderId="79" xfId="183" quotePrefix="1" applyNumberFormat="1" applyFont="1" applyBorder="1" applyAlignment="1">
      <alignment vertical="center"/>
    </xf>
    <xf numFmtId="0" fontId="13" fillId="0" borderId="18" xfId="183" applyFont="1" applyBorder="1" applyAlignment="1">
      <alignment horizontal="left" vertical="center"/>
    </xf>
    <xf numFmtId="0" fontId="105" fillId="0" borderId="35" xfId="183" applyFont="1" applyBorder="1" applyAlignment="1">
      <alignment horizontal="center" vertical="center"/>
    </xf>
    <xf numFmtId="0" fontId="105" fillId="0" borderId="0" xfId="183" applyFont="1" applyBorder="1" applyAlignment="1">
      <alignment horizontal="right" vertical="center"/>
    </xf>
    <xf numFmtId="0" fontId="105" fillId="0" borderId="39" xfId="183" applyFont="1" applyBorder="1" applyAlignment="1">
      <alignment horizontal="right" vertical="center"/>
    </xf>
    <xf numFmtId="0" fontId="13" fillId="0" borderId="25" xfId="183" applyFont="1" applyBorder="1" applyAlignment="1">
      <alignment vertical="center"/>
    </xf>
    <xf numFmtId="0" fontId="113" fillId="0" borderId="0" xfId="196" applyFont="1" applyFill="1"/>
    <xf numFmtId="0" fontId="11" fillId="0" borderId="76" xfId="140" applyFont="1" applyFill="1" applyBorder="1" applyAlignment="1">
      <alignment vertical="center"/>
    </xf>
    <xf numFmtId="0" fontId="4" fillId="0" borderId="62" xfId="140" applyFont="1" applyFill="1" applyBorder="1" applyAlignment="1">
      <alignment vertical="center"/>
    </xf>
    <xf numFmtId="0" fontId="4" fillId="0" borderId="54" xfId="140" applyFont="1" applyFill="1" applyBorder="1" applyAlignment="1">
      <alignment vertical="center"/>
    </xf>
    <xf numFmtId="0" fontId="4" fillId="0" borderId="77" xfId="140" applyFont="1" applyFill="1" applyBorder="1" applyAlignment="1">
      <alignment vertical="center"/>
    </xf>
    <xf numFmtId="0" fontId="4" fillId="0" borderId="14" xfId="140" applyFont="1" applyFill="1" applyBorder="1" applyAlignment="1">
      <alignment horizontal="left" vertical="center"/>
    </xf>
    <xf numFmtId="0" fontId="9" fillId="0" borderId="1" xfId="140" applyFont="1" applyFill="1" applyBorder="1" applyAlignment="1">
      <alignment vertical="center" wrapText="1"/>
    </xf>
    <xf numFmtId="0" fontId="4" fillId="0" borderId="77" xfId="140" applyFont="1" applyFill="1" applyBorder="1" applyAlignment="1">
      <alignment horizontal="left" vertical="center"/>
    </xf>
    <xf numFmtId="0" fontId="9" fillId="0" borderId="54" xfId="140" applyFont="1" applyFill="1" applyBorder="1" applyAlignment="1">
      <alignment vertical="center" wrapText="1"/>
    </xf>
    <xf numFmtId="0" fontId="4" fillId="0" borderId="13" xfId="140" applyFont="1" applyFill="1" applyBorder="1" applyAlignment="1">
      <alignment horizontal="left" vertical="center"/>
    </xf>
    <xf numFmtId="0" fontId="4" fillId="0" borderId="57" xfId="140" applyFont="1" applyFill="1" applyBorder="1" applyAlignment="1">
      <alignment vertical="center"/>
    </xf>
    <xf numFmtId="0" fontId="87" fillId="0" borderId="10" xfId="187" applyFont="1" applyFill="1" applyBorder="1" applyAlignment="1">
      <alignment horizontal="left" vertical="center"/>
    </xf>
    <xf numFmtId="0" fontId="11" fillId="0" borderId="67" xfId="300" applyFont="1" applyFill="1" applyBorder="1" applyAlignment="1">
      <alignment vertical="center"/>
    </xf>
    <xf numFmtId="0" fontId="11" fillId="0" borderId="40" xfId="300" applyFont="1" applyFill="1" applyBorder="1" applyAlignment="1">
      <alignment vertical="center"/>
    </xf>
    <xf numFmtId="0" fontId="11" fillId="0" borderId="76" xfId="299" applyFont="1" applyFill="1" applyBorder="1" applyAlignment="1">
      <alignment horizontal="left" vertical="center"/>
    </xf>
    <xf numFmtId="0" fontId="11" fillId="0" borderId="54" xfId="299" applyFont="1" applyFill="1" applyBorder="1" applyAlignment="1">
      <alignment horizontal="left" vertical="center"/>
    </xf>
    <xf numFmtId="0" fontId="11" fillId="0" borderId="68" xfId="299" applyFont="1" applyFill="1" applyBorder="1" applyAlignment="1">
      <alignment vertical="center"/>
    </xf>
    <xf numFmtId="0" fontId="11" fillId="0" borderId="58" xfId="181" applyFont="1" applyFill="1" applyBorder="1" applyAlignment="1">
      <alignment horizontal="center" vertical="center" wrapText="1"/>
    </xf>
    <xf numFmtId="0" fontId="11" fillId="0" borderId="40" xfId="181" applyFont="1" applyFill="1" applyBorder="1" applyAlignment="1">
      <alignment horizontal="center" vertical="center" wrapText="1"/>
    </xf>
    <xf numFmtId="0" fontId="80" fillId="0" borderId="76" xfId="181" applyFont="1" applyFill="1" applyBorder="1" applyAlignment="1">
      <alignment vertical="center" wrapText="1"/>
    </xf>
    <xf numFmtId="0" fontId="81" fillId="0" borderId="62" xfId="148" applyFont="1" applyBorder="1" applyAlignment="1">
      <alignment vertical="center"/>
    </xf>
    <xf numFmtId="0" fontId="81" fillId="0" borderId="54" xfId="181" applyFont="1" applyFill="1" applyBorder="1" applyAlignment="1">
      <alignment vertical="center" wrapText="1"/>
    </xf>
    <xf numFmtId="0" fontId="81" fillId="0" borderId="77" xfId="181" applyFont="1" applyFill="1" applyBorder="1" applyAlignment="1">
      <alignment vertical="center"/>
    </xf>
    <xf numFmtId="0" fontId="81" fillId="0" borderId="68" xfId="181" applyFont="1" applyFill="1" applyBorder="1" applyAlignment="1">
      <alignment horizontal="left" vertical="center" wrapText="1"/>
    </xf>
    <xf numFmtId="0" fontId="81" fillId="0" borderId="57" xfId="181" applyFont="1" applyFill="1" applyBorder="1" applyAlignment="1">
      <alignment horizontal="left" vertical="center"/>
    </xf>
    <xf numFmtId="0" fontId="80" fillId="0" borderId="76" xfId="140" applyFont="1" applyFill="1" applyBorder="1" applyAlignment="1">
      <alignment vertical="center" wrapText="1"/>
    </xf>
    <xf numFmtId="0" fontId="81" fillId="0" borderId="62" xfId="140" applyFont="1" applyBorder="1" applyAlignment="1">
      <alignment horizontal="left" vertical="center" wrapText="1"/>
    </xf>
    <xf numFmtId="0" fontId="81" fillId="0" borderId="77" xfId="140" applyFont="1" applyBorder="1" applyAlignment="1">
      <alignment vertical="center" wrapText="1"/>
    </xf>
    <xf numFmtId="0" fontId="11" fillId="0" borderId="54" xfId="181" applyFont="1" applyFill="1" applyBorder="1" applyAlignment="1">
      <alignment vertical="center" wrapText="1"/>
    </xf>
    <xf numFmtId="0" fontId="4" fillId="0" borderId="62" xfId="181" applyFont="1" applyFill="1" applyBorder="1" applyAlignment="1">
      <alignment vertical="center"/>
    </xf>
    <xf numFmtId="0" fontId="4" fillId="0" borderId="68" xfId="180" applyFont="1" applyFill="1" applyBorder="1" applyAlignment="1">
      <alignment vertical="center"/>
    </xf>
    <xf numFmtId="0" fontId="4" fillId="0" borderId="57" xfId="185" applyFont="1" applyFill="1" applyBorder="1" applyAlignment="1">
      <alignment vertical="top" wrapText="1"/>
    </xf>
    <xf numFmtId="0" fontId="4" fillId="0" borderId="62" xfId="189" applyFont="1" applyFill="1" applyBorder="1" applyAlignment="1">
      <alignment horizontal="left" vertical="center" wrapText="1"/>
    </xf>
    <xf numFmtId="0" fontId="4" fillId="0" borderId="77" xfId="189" applyFont="1" applyFill="1" applyBorder="1" applyAlignment="1">
      <alignment horizontal="left" vertical="center" wrapText="1"/>
    </xf>
    <xf numFmtId="0" fontId="4" fillId="0" borderId="57" xfId="189" applyFont="1" applyFill="1" applyBorder="1" applyAlignment="1">
      <alignment vertical="center" wrapText="1"/>
    </xf>
    <xf numFmtId="0" fontId="83" fillId="0" borderId="76" xfId="189" applyFont="1" applyFill="1" applyBorder="1" applyAlignment="1">
      <alignment horizontal="left" wrapText="1"/>
    </xf>
    <xf numFmtId="0" fontId="83" fillId="0" borderId="68" xfId="189" applyFont="1" applyFill="1" applyBorder="1" applyAlignment="1">
      <alignment horizontal="left" vertical="center" wrapText="1"/>
    </xf>
    <xf numFmtId="0" fontId="4" fillId="0" borderId="73" xfId="140" applyFont="1" applyFill="1" applyBorder="1" applyAlignment="1">
      <alignment vertical="center"/>
    </xf>
    <xf numFmtId="0" fontId="4" fillId="0" borderId="2" xfId="140" applyFont="1" applyFill="1" applyBorder="1" applyAlignment="1">
      <alignment vertical="center"/>
    </xf>
    <xf numFmtId="0" fontId="11" fillId="0" borderId="59" xfId="140" applyFont="1" applyFill="1" applyBorder="1" applyAlignment="1">
      <alignment vertical="center"/>
    </xf>
    <xf numFmtId="0" fontId="4" fillId="0" borderId="1" xfId="140" applyFont="1" applyFill="1" applyBorder="1" applyAlignment="1">
      <alignment vertical="center"/>
    </xf>
    <xf numFmtId="0" fontId="11" fillId="0" borderId="59" xfId="140" applyFont="1" applyFill="1" applyBorder="1" applyAlignment="1">
      <alignment vertical="center" wrapText="1"/>
    </xf>
    <xf numFmtId="0" fontId="89" fillId="0" borderId="17" xfId="187" applyFont="1" applyFill="1" applyBorder="1" applyAlignment="1">
      <alignment vertical="center" wrapText="1"/>
    </xf>
    <xf numFmtId="0" fontId="89" fillId="0" borderId="17" xfId="187" applyFont="1" applyFill="1" applyBorder="1" applyAlignment="1">
      <alignment horizontal="center" vertical="center" wrapText="1"/>
    </xf>
    <xf numFmtId="0" fontId="87" fillId="0" borderId="9" xfId="150" quotePrefix="1" applyFont="1" applyFill="1" applyBorder="1" applyAlignment="1">
      <alignment horizontal="center" vertical="center"/>
    </xf>
    <xf numFmtId="0" fontId="87" fillId="0" borderId="9" xfId="150" applyFont="1" applyFill="1" applyBorder="1" applyAlignment="1">
      <alignment horizontal="center" vertical="center" wrapText="1"/>
    </xf>
    <xf numFmtId="0" fontId="4" fillId="0" borderId="14" xfId="185" applyFont="1" applyFill="1" applyBorder="1" applyAlignment="1">
      <alignment horizontal="left" vertical="center" wrapText="1"/>
    </xf>
    <xf numFmtId="0" fontId="4" fillId="0" borderId="15" xfId="181" applyFont="1" applyFill="1" applyBorder="1" applyAlignment="1">
      <alignment vertical="center" wrapText="1"/>
    </xf>
    <xf numFmtId="0" fontId="4" fillId="0" borderId="15" xfId="185" applyFont="1" applyFill="1" applyBorder="1" applyAlignment="1">
      <alignment vertical="center" wrapText="1"/>
    </xf>
    <xf numFmtId="0" fontId="4" fillId="0" borderId="14" xfId="185" applyFont="1" applyFill="1" applyBorder="1" applyAlignment="1">
      <alignment vertical="center" wrapText="1"/>
    </xf>
    <xf numFmtId="0" fontId="4" fillId="0" borderId="77" xfId="185" applyFont="1" applyFill="1" applyBorder="1" applyAlignment="1">
      <alignment vertical="center" wrapText="1"/>
    </xf>
    <xf numFmtId="0" fontId="87" fillId="0" borderId="10" xfId="187" applyFont="1" applyFill="1" applyBorder="1" applyAlignment="1">
      <alignment horizontal="left" vertical="center"/>
    </xf>
    <xf numFmtId="0" fontId="4" fillId="0" borderId="13" xfId="181" applyFont="1" applyFill="1" applyBorder="1" applyAlignment="1">
      <alignment vertical="center" wrapText="1"/>
    </xf>
    <xf numFmtId="0" fontId="93" fillId="0" borderId="9" xfId="151" applyFont="1" applyFill="1" applyBorder="1" applyAlignment="1">
      <alignment horizontal="left" vertical="center" wrapText="1"/>
    </xf>
    <xf numFmtId="0" fontId="93" fillId="0" borderId="9" xfId="151" applyFont="1" applyFill="1" applyBorder="1" applyAlignment="1">
      <alignment horizontal="center" vertical="center" wrapText="1"/>
    </xf>
    <xf numFmtId="0" fontId="93" fillId="0" borderId="37" xfId="151" applyFont="1" applyFill="1" applyBorder="1" applyAlignment="1">
      <alignment horizontal="center" vertical="center" wrapText="1"/>
    </xf>
    <xf numFmtId="0" fontId="93" fillId="0" borderId="37" xfId="151" applyFont="1" applyFill="1" applyBorder="1" applyAlignment="1">
      <alignment vertical="center" wrapText="1"/>
    </xf>
    <xf numFmtId="0" fontId="93" fillId="0" borderId="9" xfId="161" quotePrefix="1" applyFont="1" applyFill="1" applyBorder="1" applyAlignment="1">
      <alignment vertical="center" wrapText="1"/>
    </xf>
    <xf numFmtId="0" fontId="93" fillId="0" borderId="9" xfId="161" quotePrefix="1" applyFont="1" applyFill="1" applyBorder="1" applyAlignment="1">
      <alignment horizontal="center" vertical="center" wrapText="1"/>
    </xf>
    <xf numFmtId="0" fontId="105" fillId="0" borderId="0" xfId="183" applyFont="1" applyBorder="1" applyAlignment="1">
      <alignment vertical="center"/>
    </xf>
    <xf numFmtId="0" fontId="87" fillId="0" borderId="9" xfId="151" applyFont="1" applyFill="1" applyBorder="1" applyAlignment="1">
      <alignment horizontal="center" vertical="center" wrapText="1"/>
    </xf>
    <xf numFmtId="0" fontId="89" fillId="0" borderId="37" xfId="151" applyFont="1" applyFill="1" applyBorder="1" applyAlignment="1">
      <alignment horizontal="left" vertical="center" wrapText="1"/>
    </xf>
    <xf numFmtId="0" fontId="89" fillId="0" borderId="37" xfId="151" applyFont="1" applyFill="1" applyBorder="1" applyAlignment="1">
      <alignment horizontal="center" vertical="center" wrapText="1"/>
    </xf>
    <xf numFmtId="0" fontId="89" fillId="0" borderId="37" xfId="151" applyFont="1" applyFill="1" applyBorder="1" applyAlignment="1">
      <alignment vertical="center" wrapText="1"/>
    </xf>
    <xf numFmtId="0" fontId="89" fillId="0" borderId="9" xfId="151" applyFont="1" applyFill="1" applyBorder="1" applyAlignment="1">
      <alignment horizontal="left" vertical="center" wrapText="1"/>
    </xf>
    <xf numFmtId="0" fontId="89" fillId="0" borderId="9" xfId="151" applyFont="1" applyFill="1" applyBorder="1" applyAlignment="1">
      <alignment vertical="center" wrapText="1"/>
    </xf>
    <xf numFmtId="0" fontId="89" fillId="0" borderId="9" xfId="151" applyFont="1" applyFill="1" applyBorder="1" applyAlignment="1">
      <alignment horizontal="center" vertical="center" wrapText="1"/>
    </xf>
    <xf numFmtId="0" fontId="89" fillId="0" borderId="9" xfId="151" applyFont="1" applyFill="1" applyBorder="1" applyAlignment="1" applyProtection="1">
      <alignment horizontal="center" vertical="center" wrapText="1"/>
      <protection locked="0"/>
    </xf>
    <xf numFmtId="0" fontId="91" fillId="0" borderId="9" xfId="151" applyFont="1" applyFill="1" applyBorder="1"/>
    <xf numFmtId="0" fontId="90" fillId="0" borderId="0" xfId="187" applyFont="1" applyFill="1" applyAlignment="1">
      <alignment vertical="center"/>
    </xf>
    <xf numFmtId="0" fontId="92" fillId="0" borderId="9" xfId="151" applyFont="1" applyFill="1" applyBorder="1" applyAlignment="1">
      <alignment horizontal="center" vertical="center" wrapText="1"/>
    </xf>
    <xf numFmtId="0" fontId="93" fillId="0" borderId="37" xfId="151" applyFont="1" applyFill="1" applyBorder="1" applyAlignment="1">
      <alignment horizontal="left" vertical="center" wrapText="1"/>
    </xf>
    <xf numFmtId="0" fontId="93" fillId="0" borderId="9" xfId="151" applyFont="1" applyFill="1" applyBorder="1" applyAlignment="1">
      <alignment vertical="center" wrapText="1"/>
    </xf>
    <xf numFmtId="0" fontId="93" fillId="0" borderId="9" xfId="151" applyFont="1" applyFill="1" applyBorder="1" applyAlignment="1" applyProtection="1">
      <alignment horizontal="center" vertical="center" wrapText="1"/>
      <protection locked="0"/>
    </xf>
    <xf numFmtId="0" fontId="114" fillId="0" borderId="9" xfId="151" applyFont="1" applyFill="1" applyBorder="1"/>
    <xf numFmtId="0" fontId="94" fillId="0" borderId="0" xfId="187" applyFont="1" applyFill="1" applyAlignment="1">
      <alignment vertical="center"/>
    </xf>
    <xf numFmtId="0" fontId="93" fillId="0" borderId="37" xfId="151" applyFont="1" applyFill="1" applyBorder="1" applyAlignment="1" applyProtection="1">
      <alignment horizontal="left" vertical="center" wrapText="1"/>
      <protection locked="0"/>
    </xf>
    <xf numFmtId="0" fontId="93" fillId="0" borderId="37" xfId="151" applyFont="1" applyFill="1" applyBorder="1" applyAlignment="1" applyProtection="1">
      <alignment horizontal="center" vertical="center" wrapText="1"/>
      <protection locked="0"/>
    </xf>
    <xf numFmtId="0" fontId="93" fillId="0" borderId="37" xfId="151" applyFont="1" applyFill="1" applyBorder="1" applyAlignment="1" applyProtection="1">
      <alignment vertical="center" wrapText="1"/>
      <protection locked="0"/>
    </xf>
    <xf numFmtId="0" fontId="93" fillId="0" borderId="9" xfId="151" applyFont="1" applyFill="1" applyBorder="1" applyAlignment="1" applyProtection="1">
      <alignment horizontal="left" vertical="center" wrapText="1"/>
      <protection locked="0"/>
    </xf>
    <xf numFmtId="0" fontId="93" fillId="0" borderId="9" xfId="151" applyFont="1" applyFill="1" applyBorder="1" applyAlignment="1" applyProtection="1">
      <alignment vertical="center" wrapText="1"/>
      <protection locked="0"/>
    </xf>
    <xf numFmtId="0" fontId="107" fillId="0" borderId="18" xfId="140" applyFont="1" applyFill="1" applyBorder="1" applyAlignment="1">
      <alignment horizontal="left" vertical="center" wrapText="1"/>
    </xf>
    <xf numFmtId="0" fontId="107" fillId="0" borderId="15" xfId="140" applyFont="1" applyFill="1" applyBorder="1" applyAlignment="1">
      <alignment horizontal="center" vertical="center"/>
    </xf>
    <xf numFmtId="0" fontId="107" fillId="0" borderId="0" xfId="140" applyFont="1" applyBorder="1" applyAlignment="1">
      <alignment horizontal="left" vertical="center"/>
    </xf>
    <xf numFmtId="0" fontId="102" fillId="0" borderId="16" xfId="140" applyFont="1" applyFill="1" applyBorder="1" applyAlignment="1">
      <alignment horizontal="center" vertical="center"/>
    </xf>
    <xf numFmtId="0" fontId="102" fillId="0" borderId="18" xfId="140" applyFont="1" applyFill="1" applyBorder="1" applyAlignment="1">
      <alignment horizontal="center" vertical="center"/>
    </xf>
    <xf numFmtId="0" fontId="102" fillId="0" borderId="0" xfId="140" applyFont="1" applyFill="1" applyBorder="1" applyAlignment="1">
      <alignment horizontal="center" vertical="center"/>
    </xf>
    <xf numFmtId="0" fontId="4" fillId="0" borderId="13" xfId="140" applyFont="1" applyFill="1" applyBorder="1" applyAlignment="1">
      <alignment horizontal="left" vertical="center" wrapText="1"/>
    </xf>
    <xf numFmtId="0" fontId="4" fillId="0" borderId="15" xfId="189" applyFont="1" applyFill="1" applyBorder="1" applyAlignment="1">
      <alignment horizontal="left" vertical="center" wrapText="1"/>
    </xf>
    <xf numFmtId="0" fontId="98" fillId="0" borderId="76" xfId="140" applyFont="1" applyFill="1" applyBorder="1" applyAlignment="1">
      <alignment horizontal="center" vertical="center"/>
    </xf>
    <xf numFmtId="0" fontId="98" fillId="0" borderId="54" xfId="140" applyFont="1" applyFill="1" applyBorder="1" applyAlignment="1">
      <alignment horizontal="center" vertical="center"/>
    </xf>
    <xf numFmtId="0" fontId="98" fillId="0" borderId="68" xfId="140" applyFont="1" applyFill="1" applyBorder="1" applyAlignment="1">
      <alignment horizontal="center" vertical="center"/>
    </xf>
    <xf numFmtId="0" fontId="98" fillId="0" borderId="16" xfId="140" applyFont="1" applyFill="1" applyBorder="1" applyAlignment="1">
      <alignment vertical="center" wrapText="1"/>
    </xf>
    <xf numFmtId="0" fontId="98" fillId="0" borderId="73" xfId="140" applyFont="1" applyFill="1" applyBorder="1" applyAlignment="1">
      <alignment vertical="center" wrapText="1"/>
    </xf>
    <xf numFmtId="0" fontId="105" fillId="0" borderId="0" xfId="183" applyFont="1" applyFill="1" applyBorder="1" applyAlignment="1">
      <alignment horizontal="left" vertical="center"/>
    </xf>
    <xf numFmtId="0" fontId="9" fillId="0" borderId="68" xfId="140" applyFont="1" applyFill="1" applyBorder="1" applyAlignment="1">
      <alignment vertical="center" wrapText="1"/>
    </xf>
    <xf numFmtId="0" fontId="37" fillId="0" borderId="10" xfId="150" applyFont="1" applyBorder="1"/>
    <xf numFmtId="0" fontId="42" fillId="0" borderId="12" xfId="150" applyFont="1" applyBorder="1"/>
    <xf numFmtId="0" fontId="115" fillId="0" borderId="0" xfId="150" applyFont="1"/>
    <xf numFmtId="0" fontId="37" fillId="0" borderId="39" xfId="150" applyFont="1" applyBorder="1"/>
    <xf numFmtId="0" fontId="42" fillId="0" borderId="37" xfId="150" applyFont="1" applyBorder="1"/>
    <xf numFmtId="0" fontId="42" fillId="0" borderId="16" xfId="150" applyFont="1" applyBorder="1"/>
    <xf numFmtId="0" fontId="115" fillId="0" borderId="16" xfId="150" applyFont="1" applyBorder="1"/>
    <xf numFmtId="0" fontId="115" fillId="0" borderId="36" xfId="150" applyFont="1" applyBorder="1"/>
    <xf numFmtId="0" fontId="115" fillId="0" borderId="18" xfId="150" applyFont="1" applyBorder="1"/>
    <xf numFmtId="0" fontId="115" fillId="0" borderId="0" xfId="150" applyFont="1" applyBorder="1"/>
    <xf numFmtId="0" fontId="42" fillId="0" borderId="0" xfId="150" applyFont="1" applyBorder="1"/>
    <xf numFmtId="0" fontId="115" fillId="0" borderId="35" xfId="150" applyFont="1" applyBorder="1"/>
    <xf numFmtId="0" fontId="42" fillId="0" borderId="18" xfId="150" applyFont="1" applyBorder="1"/>
    <xf numFmtId="0" fontId="42" fillId="0" borderId="39" xfId="150" applyFont="1" applyBorder="1"/>
    <xf numFmtId="0" fontId="115" fillId="0" borderId="25" xfId="150" applyFont="1" applyBorder="1"/>
    <xf numFmtId="0" fontId="115" fillId="0" borderId="37" xfId="150" applyFont="1" applyBorder="1"/>
    <xf numFmtId="0" fontId="42" fillId="0" borderId="38" xfId="150" applyFont="1" applyBorder="1"/>
    <xf numFmtId="10" fontId="115" fillId="0" borderId="0" xfId="150" applyNumberFormat="1" applyFont="1" applyBorder="1"/>
    <xf numFmtId="0" fontId="115" fillId="0" borderId="39" xfId="150" applyFont="1" applyBorder="1"/>
    <xf numFmtId="0" fontId="115" fillId="0" borderId="10" xfId="150" applyFont="1" applyBorder="1"/>
    <xf numFmtId="0" fontId="115" fillId="0" borderId="12" xfId="150" applyFont="1" applyBorder="1"/>
    <xf numFmtId="0" fontId="115" fillId="0" borderId="11" xfId="150" applyFont="1" applyBorder="1"/>
    <xf numFmtId="0" fontId="42" fillId="0" borderId="0" xfId="150" applyFont="1" applyBorder="1" applyAlignment="1">
      <alignment vertical="top"/>
    </xf>
    <xf numFmtId="0" fontId="115" fillId="0" borderId="52" xfId="150" applyFont="1" applyBorder="1"/>
    <xf numFmtId="0" fontId="115" fillId="0" borderId="5" xfId="150" applyFont="1" applyBorder="1"/>
    <xf numFmtId="0" fontId="42" fillId="0" borderId="0" xfId="150" applyFont="1" applyBorder="1" applyAlignment="1">
      <alignment horizontal="left"/>
    </xf>
    <xf numFmtId="0" fontId="115" fillId="0" borderId="53" xfId="150" applyFont="1" applyBorder="1" applyAlignment="1">
      <alignment horizontal="right"/>
    </xf>
    <xf numFmtId="0" fontId="42" fillId="0" borderId="15" xfId="150" applyFont="1" applyBorder="1" applyAlignment="1">
      <alignment wrapText="1"/>
    </xf>
    <xf numFmtId="0" fontId="42" fillId="0" borderId="35" xfId="150" applyFont="1" applyBorder="1" applyAlignment="1">
      <alignment horizontal="center"/>
    </xf>
    <xf numFmtId="0" fontId="115" fillId="0" borderId="14" xfId="150" applyFont="1" applyBorder="1" applyAlignment="1">
      <alignment horizontal="center"/>
    </xf>
    <xf numFmtId="0" fontId="42" fillId="0" borderId="14" xfId="150" applyFont="1" applyBorder="1"/>
    <xf numFmtId="0" fontId="42" fillId="0" borderId="14" xfId="150" applyFont="1" applyBorder="1" applyAlignment="1">
      <alignment wrapText="1"/>
    </xf>
    <xf numFmtId="0" fontId="42" fillId="0" borderId="35" xfId="150" applyFont="1" applyBorder="1"/>
    <xf numFmtId="0" fontId="42" fillId="0" borderId="14" xfId="150" applyFont="1" applyBorder="1" applyAlignment="1">
      <alignment horizontal="center"/>
    </xf>
    <xf numFmtId="0" fontId="42" fillId="0" borderId="0" xfId="150" applyFont="1" applyFill="1" applyBorder="1"/>
    <xf numFmtId="0" fontId="115" fillId="0" borderId="14" xfId="150" applyFont="1" applyBorder="1"/>
    <xf numFmtId="0" fontId="115" fillId="0" borderId="52" xfId="150" applyFont="1" applyBorder="1" applyAlignment="1">
      <alignment horizontal="left" vertical="top"/>
    </xf>
    <xf numFmtId="0" fontId="115" fillId="0" borderId="53" xfId="150" applyFont="1" applyBorder="1" applyAlignment="1">
      <alignment horizontal="left" vertical="top"/>
    </xf>
    <xf numFmtId="0" fontId="2" fillId="0" borderId="13" xfId="150" applyBorder="1" applyAlignment="1"/>
    <xf numFmtId="0" fontId="115" fillId="0" borderId="13" xfId="150" applyFont="1" applyBorder="1"/>
    <xf numFmtId="0" fontId="119" fillId="0" borderId="0" xfId="150" applyFont="1" applyBorder="1" applyAlignment="1">
      <alignment wrapText="1"/>
    </xf>
    <xf numFmtId="0" fontId="120" fillId="0" borderId="0" xfId="150" applyFont="1" applyBorder="1" applyAlignment="1">
      <alignment wrapText="1"/>
    </xf>
    <xf numFmtId="0" fontId="120" fillId="0" borderId="35" xfId="150" applyFont="1" applyBorder="1" applyAlignment="1">
      <alignment wrapText="1"/>
    </xf>
    <xf numFmtId="0" fontId="42" fillId="0" borderId="0" xfId="150" applyFont="1" applyBorder="1" applyAlignment="1"/>
    <xf numFmtId="0" fontId="42" fillId="0" borderId="35" xfId="150" applyFont="1" applyBorder="1" applyAlignment="1"/>
    <xf numFmtId="0" fontId="42" fillId="0" borderId="18" xfId="150" applyFont="1" applyBorder="1" applyAlignment="1"/>
    <xf numFmtId="0" fontId="42" fillId="0" borderId="0" xfId="150" applyFont="1" applyBorder="1" applyAlignment="1">
      <alignment horizontal="center"/>
    </xf>
    <xf numFmtId="0" fontId="115" fillId="0" borderId="0" xfId="150" applyFont="1" applyBorder="1" applyAlignment="1"/>
    <xf numFmtId="0" fontId="2" fillId="0" borderId="18" xfId="150" applyFont="1" applyBorder="1"/>
    <xf numFmtId="0" fontId="2" fillId="0" borderId="0" xfId="150" applyFont="1" applyBorder="1"/>
    <xf numFmtId="0" fontId="2" fillId="0" borderId="35" xfId="150" applyFont="1" applyBorder="1"/>
    <xf numFmtId="0" fontId="2" fillId="0" borderId="0" xfId="150" applyFont="1"/>
    <xf numFmtId="0" fontId="2" fillId="0" borderId="18" xfId="150" applyFont="1" applyFill="1" applyBorder="1"/>
    <xf numFmtId="0" fontId="2" fillId="0" borderId="0" xfId="150" applyFont="1" applyBorder="1" applyAlignment="1">
      <alignment horizontal="left"/>
    </xf>
    <xf numFmtId="0" fontId="115" fillId="0" borderId="9" xfId="150" quotePrefix="1" applyFont="1" applyBorder="1" applyAlignment="1">
      <alignment horizontal="left"/>
    </xf>
    <xf numFmtId="0" fontId="115" fillId="0" borderId="9" xfId="150" applyFont="1" applyBorder="1"/>
    <xf numFmtId="0" fontId="42" fillId="0" borderId="10" xfId="150" applyFont="1" applyBorder="1"/>
    <xf numFmtId="0" fontId="42" fillId="0" borderId="11" xfId="150" applyFont="1" applyBorder="1"/>
    <xf numFmtId="0" fontId="2" fillId="0" borderId="0" xfId="140" applyProtection="1"/>
    <xf numFmtId="0" fontId="2" fillId="34" borderId="92" xfId="140" applyFont="1" applyFill="1" applyBorder="1" applyAlignment="1" applyProtection="1">
      <alignment horizontal="left" vertical="center" indent="1"/>
      <protection locked="0"/>
    </xf>
    <xf numFmtId="0" fontId="2" fillId="33" borderId="88" xfId="140" applyFont="1" applyFill="1" applyBorder="1" applyAlignment="1" applyProtection="1">
      <alignment horizontal="center" vertical="center"/>
    </xf>
    <xf numFmtId="0" fontId="2" fillId="33" borderId="89" xfId="140" applyFont="1" applyFill="1" applyBorder="1" applyAlignment="1" applyProtection="1">
      <alignment horizontal="center" vertical="center"/>
    </xf>
    <xf numFmtId="0" fontId="2" fillId="0" borderId="89" xfId="140" applyFont="1" applyFill="1" applyBorder="1" applyAlignment="1" applyProtection="1">
      <alignment horizontal="center" vertical="center"/>
    </xf>
    <xf numFmtId="14" fontId="123" fillId="0" borderId="93" xfId="140" applyNumberFormat="1" applyFont="1" applyFill="1" applyBorder="1" applyAlignment="1" applyProtection="1">
      <alignment horizontal="right" vertical="center"/>
    </xf>
    <xf numFmtId="0" fontId="2" fillId="0" borderId="92" xfId="140" applyFont="1" applyBorder="1" applyAlignment="1" applyProtection="1">
      <alignment horizontal="center" vertical="center"/>
    </xf>
    <xf numFmtId="216" fontId="2" fillId="33" borderId="94" xfId="140" applyNumberFormat="1" applyFont="1" applyFill="1" applyBorder="1" applyAlignment="1" applyProtection="1">
      <alignment horizontal="center" vertical="center"/>
    </xf>
    <xf numFmtId="0" fontId="2" fillId="33" borderId="94" xfId="140" applyFont="1" applyFill="1" applyBorder="1" applyAlignment="1" applyProtection="1">
      <alignment horizontal="center" vertical="center"/>
    </xf>
    <xf numFmtId="0" fontId="2" fillId="0" borderId="94" xfId="140" applyFont="1" applyFill="1" applyBorder="1" applyAlignment="1" applyProtection="1">
      <alignment horizontal="center" vertical="center"/>
    </xf>
    <xf numFmtId="14" fontId="2" fillId="34" borderId="95" xfId="140" applyNumberFormat="1" applyFont="1" applyFill="1" applyBorder="1" applyAlignment="1" applyProtection="1">
      <alignment horizontal="center" vertical="center"/>
      <protection locked="0"/>
    </xf>
    <xf numFmtId="0" fontId="2" fillId="33" borderId="90" xfId="140" applyFont="1" applyFill="1" applyBorder="1" applyAlignment="1" applyProtection="1">
      <alignment horizontal="left" vertical="center" indent="1"/>
    </xf>
    <xf numFmtId="0" fontId="2" fillId="33" borderId="94" xfId="140" applyNumberFormat="1" applyFont="1" applyFill="1" applyBorder="1" applyAlignment="1" applyProtection="1">
      <alignment horizontal="center" vertical="center"/>
    </xf>
    <xf numFmtId="0" fontId="2" fillId="0" borderId="94" xfId="140" applyBorder="1" applyAlignment="1" applyProtection="1">
      <alignment horizontal="center" vertical="center"/>
    </xf>
    <xf numFmtId="0" fontId="2" fillId="33" borderId="95" xfId="140" applyFont="1" applyFill="1" applyBorder="1" applyAlignment="1" applyProtection="1">
      <alignment horizontal="center" vertical="center"/>
    </xf>
    <xf numFmtId="0" fontId="2" fillId="33" borderId="91" xfId="140" applyFont="1" applyFill="1" applyBorder="1" applyAlignment="1" applyProtection="1">
      <alignment horizontal="center" vertical="center"/>
    </xf>
    <xf numFmtId="0" fontId="2" fillId="33" borderId="97" xfId="140" applyFont="1" applyFill="1" applyBorder="1" applyAlignment="1" applyProtection="1">
      <alignment horizontal="center" vertical="center"/>
    </xf>
    <xf numFmtId="0" fontId="2" fillId="33" borderId="87" xfId="140" applyFont="1" applyFill="1" applyBorder="1" applyAlignment="1" applyProtection="1">
      <alignment horizontal="center" vertical="center"/>
    </xf>
    <xf numFmtId="0" fontId="124" fillId="33" borderId="9" xfId="140" applyFont="1" applyFill="1" applyBorder="1" applyAlignment="1" applyProtection="1">
      <alignment horizontal="center" vertical="center"/>
    </xf>
    <xf numFmtId="177" fontId="37" fillId="34" borderId="9" xfId="140" applyNumberFormat="1" applyFont="1" applyFill="1" applyBorder="1" applyAlignment="1" applyProtection="1">
      <alignment horizontal="left" vertical="center"/>
      <protection locked="0"/>
    </xf>
    <xf numFmtId="0" fontId="2" fillId="33" borderId="92" xfId="140" applyFont="1" applyFill="1" applyBorder="1" applyAlignment="1" applyProtection="1">
      <alignment horizontal="center" vertical="center"/>
    </xf>
    <xf numFmtId="0" fontId="2" fillId="33" borderId="85" xfId="140" applyFont="1" applyFill="1" applyBorder="1" applyAlignment="1" applyProtection="1">
      <alignment horizontal="center" vertical="center"/>
    </xf>
    <xf numFmtId="177" fontId="2" fillId="33" borderId="88" xfId="140" applyNumberFormat="1" applyFont="1" applyFill="1" applyBorder="1" applyAlignment="1" applyProtection="1">
      <alignment horizontal="center" vertical="center"/>
    </xf>
    <xf numFmtId="177" fontId="2" fillId="33" borderId="92" xfId="140" applyNumberFormat="1" applyFont="1" applyFill="1" applyBorder="1" applyAlignment="1" applyProtection="1">
      <alignment horizontal="center" vertical="center"/>
    </xf>
    <xf numFmtId="193" fontId="2" fillId="33" borderId="95" xfId="140" applyNumberFormat="1" applyFont="1" applyFill="1" applyBorder="1" applyAlignment="1" applyProtection="1">
      <alignment horizontal="center" vertical="center"/>
    </xf>
    <xf numFmtId="0" fontId="124" fillId="33" borderId="94" xfId="140" applyFont="1" applyFill="1" applyBorder="1" applyAlignment="1" applyProtection="1">
      <alignment horizontal="center" vertical="center"/>
    </xf>
    <xf numFmtId="0" fontId="124" fillId="33" borderId="95" xfId="140" applyFont="1" applyFill="1" applyBorder="1" applyAlignment="1" applyProtection="1">
      <alignment horizontal="left" vertical="center"/>
    </xf>
    <xf numFmtId="177" fontId="2" fillId="33" borderId="90" xfId="140" applyNumberFormat="1" applyFont="1" applyFill="1" applyBorder="1" applyAlignment="1" applyProtection="1">
      <alignment horizontal="center" vertical="center"/>
    </xf>
    <xf numFmtId="177" fontId="2" fillId="33" borderId="96" xfId="140" applyNumberFormat="1" applyFont="1" applyFill="1" applyBorder="1" applyAlignment="1" applyProtection="1">
      <alignment horizontal="center" vertical="center"/>
    </xf>
    <xf numFmtId="0" fontId="124" fillId="33" borderId="88" xfId="140" applyFont="1" applyFill="1" applyBorder="1" applyAlignment="1" applyProtection="1">
      <alignment horizontal="center" vertical="center"/>
    </xf>
    <xf numFmtId="217" fontId="124" fillId="33" borderId="89" xfId="140" applyNumberFormat="1" applyFont="1" applyFill="1" applyBorder="1" applyAlignment="1" applyProtection="1">
      <alignment horizontal="center" vertical="center"/>
    </xf>
    <xf numFmtId="217" fontId="2" fillId="0" borderId="0" xfId="140" applyNumberFormat="1" applyProtection="1"/>
    <xf numFmtId="0" fontId="2" fillId="33" borderId="90" xfId="140" applyFont="1" applyFill="1" applyBorder="1" applyAlignment="1" applyProtection="1">
      <alignment horizontal="center" vertical="center"/>
    </xf>
    <xf numFmtId="0" fontId="124" fillId="33" borderId="92" xfId="140" applyFont="1" applyFill="1" applyBorder="1" applyAlignment="1" applyProtection="1">
      <alignment horizontal="center" vertical="center"/>
    </xf>
    <xf numFmtId="193" fontId="124" fillId="33" borderId="94" xfId="140" applyNumberFormat="1" applyFont="1" applyFill="1" applyBorder="1" applyAlignment="1" applyProtection="1">
      <alignment horizontal="center" vertical="center"/>
    </xf>
    <xf numFmtId="0" fontId="124" fillId="33" borderId="89" xfId="140" applyFont="1" applyFill="1" applyBorder="1" applyAlignment="1" applyProtection="1">
      <alignment horizontal="center" vertical="center"/>
    </xf>
    <xf numFmtId="0" fontId="124" fillId="33" borderId="93" xfId="140" applyFont="1" applyFill="1" applyBorder="1" applyAlignment="1" applyProtection="1">
      <alignment horizontal="left" vertical="center"/>
    </xf>
    <xf numFmtId="193" fontId="2" fillId="0" borderId="0" xfId="140" applyNumberFormat="1" applyProtection="1"/>
    <xf numFmtId="193" fontId="2" fillId="33" borderId="93" xfId="140" applyNumberFormat="1" applyFont="1" applyFill="1" applyBorder="1" applyAlignment="1" applyProtection="1">
      <alignment horizontal="center" vertical="center"/>
    </xf>
    <xf numFmtId="193" fontId="127" fillId="33" borderId="91" xfId="140" applyNumberFormat="1" applyFont="1" applyFill="1" applyBorder="1" applyAlignment="1" applyProtection="1">
      <alignment horizontal="center" vertical="center"/>
    </xf>
    <xf numFmtId="193" fontId="2" fillId="33" borderId="90" xfId="140" applyNumberFormat="1" applyFont="1" applyFill="1" applyBorder="1" applyAlignment="1" applyProtection="1">
      <alignment horizontal="center" vertical="center"/>
    </xf>
    <xf numFmtId="0" fontId="2" fillId="33" borderId="90" xfId="140" applyNumberFormat="1" applyFont="1" applyFill="1" applyBorder="1" applyAlignment="1" applyProtection="1">
      <alignment horizontal="center" vertical="center"/>
    </xf>
    <xf numFmtId="218" fontId="2" fillId="33" borderId="95" xfId="140" applyNumberFormat="1" applyFont="1" applyFill="1" applyBorder="1" applyAlignment="1" applyProtection="1">
      <alignment horizontal="center" vertical="center"/>
    </xf>
    <xf numFmtId="0" fontId="2" fillId="0" borderId="87" xfId="140" applyBorder="1" applyProtection="1"/>
    <xf numFmtId="0" fontId="2" fillId="0" borderId="0" xfId="140" applyBorder="1" applyProtection="1"/>
    <xf numFmtId="0" fontId="2" fillId="0" borderId="0" xfId="140" applyBorder="1" applyAlignment="1" applyProtection="1">
      <alignment horizontal="center"/>
    </xf>
    <xf numFmtId="193" fontId="2" fillId="33" borderId="96" xfId="140" applyNumberFormat="1" applyFont="1" applyFill="1" applyBorder="1" applyAlignment="1" applyProtection="1">
      <alignment horizontal="center" vertical="center"/>
    </xf>
    <xf numFmtId="0" fontId="2" fillId="33" borderId="96" xfId="140" applyFont="1" applyFill="1" applyBorder="1" applyAlignment="1" applyProtection="1">
      <alignment horizontal="center" vertical="center"/>
    </xf>
    <xf numFmtId="0" fontId="2" fillId="33" borderId="96" xfId="140" applyNumberFormat="1" applyFont="1" applyFill="1" applyBorder="1" applyAlignment="1" applyProtection="1">
      <alignment horizontal="center" vertical="center"/>
    </xf>
    <xf numFmtId="0" fontId="2" fillId="0" borderId="0" xfId="140" applyAlignment="1" applyProtection="1">
      <alignment horizontal="center"/>
    </xf>
    <xf numFmtId="217" fontId="2" fillId="0" borderId="0" xfId="140" applyNumberFormat="1" applyAlignment="1" applyProtection="1">
      <alignment horizontal="center"/>
    </xf>
    <xf numFmtId="49" fontId="2" fillId="0" borderId="0" xfId="140" applyNumberFormat="1" applyAlignment="1" applyProtection="1">
      <alignment horizontal="center"/>
    </xf>
    <xf numFmtId="0" fontId="81" fillId="0" borderId="57" xfId="140" applyFont="1" applyBorder="1" applyAlignment="1">
      <alignment vertical="center" wrapText="1"/>
    </xf>
    <xf numFmtId="0" fontId="11" fillId="0" borderId="59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36" xfId="0" applyFont="1" applyFill="1" applyBorder="1" applyAlignment="1">
      <alignment vertical="center"/>
    </xf>
    <xf numFmtId="0" fontId="4" fillId="0" borderId="7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4" fillId="0" borderId="35" xfId="0" applyFont="1" applyFill="1" applyBorder="1" applyAlignment="1">
      <alignment vertical="center" wrapText="1"/>
    </xf>
    <xf numFmtId="0" fontId="89" fillId="0" borderId="9" xfId="187" quotePrefix="1" applyFont="1" applyFill="1" applyBorder="1" applyAlignment="1">
      <alignment horizontal="center" vertical="center" wrapText="1"/>
    </xf>
    <xf numFmtId="0" fontId="87" fillId="0" borderId="2" xfId="187" applyFont="1" applyFill="1" applyBorder="1" applyAlignment="1">
      <alignment vertical="center"/>
    </xf>
    <xf numFmtId="0" fontId="89" fillId="0" borderId="40" xfId="187" quotePrefix="1" applyFont="1" applyFill="1" applyBorder="1" applyAlignment="1">
      <alignment horizontal="center" vertical="center" wrapText="1"/>
    </xf>
    <xf numFmtId="0" fontId="94" fillId="0" borderId="17" xfId="140" applyFont="1" applyFill="1" applyBorder="1" applyAlignment="1">
      <alignment vertical="center" wrapText="1"/>
    </xf>
    <xf numFmtId="0" fontId="89" fillId="0" borderId="17" xfId="187" applyFont="1" applyFill="1" applyBorder="1" applyAlignment="1">
      <alignment horizontal="left" vertical="center" wrapText="1"/>
    </xf>
    <xf numFmtId="0" fontId="94" fillId="0" borderId="17" xfId="140" applyFont="1" applyFill="1" applyBorder="1" applyAlignment="1">
      <alignment horizontal="centerContinuous" vertical="center"/>
    </xf>
    <xf numFmtId="0" fontId="93" fillId="0" borderId="7" xfId="140" applyFont="1" applyFill="1" applyBorder="1" applyAlignment="1" applyProtection="1">
      <alignment horizontal="center" vertical="center" wrapText="1"/>
      <protection locked="0"/>
    </xf>
    <xf numFmtId="0" fontId="93" fillId="0" borderId="17" xfId="140" applyFont="1" applyFill="1" applyBorder="1" applyAlignment="1" applyProtection="1">
      <alignment horizontal="center" vertical="center" wrapText="1"/>
      <protection locked="0"/>
    </xf>
    <xf numFmtId="0" fontId="94" fillId="0" borderId="17" xfId="140" applyFont="1" applyFill="1" applyBorder="1" applyAlignment="1">
      <alignment horizontal="center" vertical="center" wrapText="1"/>
    </xf>
    <xf numFmtId="0" fontId="89" fillId="0" borderId="17" xfId="187" quotePrefix="1" applyFont="1" applyFill="1" applyBorder="1" applyAlignment="1">
      <alignment horizontal="center" vertical="center" wrapText="1"/>
    </xf>
    <xf numFmtId="0" fontId="89" fillId="0" borderId="72" xfId="187" quotePrefix="1" applyFont="1" applyFill="1" applyBorder="1" applyAlignment="1">
      <alignment horizontal="center" vertical="center" wrapText="1"/>
    </xf>
    <xf numFmtId="0" fontId="4" fillId="0" borderId="15" xfId="189" applyFont="1" applyFill="1" applyBorder="1" applyAlignment="1">
      <alignment horizontal="left" vertical="center" wrapText="1"/>
    </xf>
    <xf numFmtId="0" fontId="4" fillId="0" borderId="13" xfId="189" applyFont="1" applyFill="1" applyBorder="1" applyAlignment="1">
      <alignment horizontal="left" vertical="center" wrapText="1"/>
    </xf>
    <xf numFmtId="0" fontId="4" fillId="0" borderId="62" xfId="189" applyFont="1" applyFill="1" applyBorder="1" applyAlignment="1">
      <alignment horizontal="left" vertical="center" wrapText="1"/>
    </xf>
    <xf numFmtId="0" fontId="4" fillId="0" borderId="77" xfId="189" applyFont="1" applyFill="1" applyBorder="1" applyAlignment="1">
      <alignment horizontal="left" vertical="center" wrapText="1"/>
    </xf>
    <xf numFmtId="0" fontId="4" fillId="0" borderId="57" xfId="189" applyFont="1" applyFill="1" applyBorder="1" applyAlignment="1">
      <alignment horizontal="left" vertical="center" wrapText="1"/>
    </xf>
    <xf numFmtId="0" fontId="4" fillId="0" borderId="13" xfId="140" applyFont="1" applyFill="1" applyBorder="1" applyAlignment="1">
      <alignment horizontal="left" vertical="center" wrapText="1"/>
    </xf>
    <xf numFmtId="0" fontId="87" fillId="0" borderId="10" xfId="187" applyFont="1" applyFill="1" applyBorder="1" applyAlignment="1">
      <alignment horizontal="left" vertical="center"/>
    </xf>
    <xf numFmtId="0" fontId="87" fillId="0" borderId="15" xfId="151" applyFont="1" applyFill="1" applyBorder="1" applyAlignment="1">
      <alignment horizontal="center" vertical="center" wrapText="1"/>
    </xf>
    <xf numFmtId="0" fontId="123" fillId="0" borderId="35" xfId="150" applyFont="1" applyBorder="1"/>
    <xf numFmtId="0" fontId="93" fillId="0" borderId="12" xfId="140" applyFont="1" applyFill="1" applyBorder="1" applyAlignment="1">
      <alignment horizontal="left" vertical="center" wrapText="1"/>
    </xf>
    <xf numFmtId="0" fontId="93" fillId="0" borderId="9" xfId="140" applyFont="1" applyFill="1" applyBorder="1" applyAlignment="1">
      <alignment horizontal="left" vertical="center" wrapText="1"/>
    </xf>
    <xf numFmtId="0" fontId="93" fillId="0" borderId="12" xfId="140" applyFont="1" applyFill="1" applyBorder="1" applyAlignment="1">
      <alignment horizontal="center" vertical="center" wrapText="1"/>
    </xf>
    <xf numFmtId="0" fontId="89" fillId="0" borderId="35" xfId="151" applyFont="1" applyFill="1" applyBorder="1" applyAlignment="1" applyProtection="1">
      <alignment horizontal="left" vertical="center" wrapText="1"/>
      <protection locked="0"/>
    </xf>
    <xf numFmtId="0" fontId="89" fillId="0" borderId="35" xfId="151" applyFont="1" applyFill="1" applyBorder="1" applyAlignment="1">
      <alignment horizontal="left" vertical="center" wrapText="1"/>
    </xf>
    <xf numFmtId="0" fontId="89" fillId="0" borderId="15" xfId="151" applyFont="1" applyFill="1" applyBorder="1" applyAlignment="1">
      <alignment horizontal="center" vertical="center" wrapText="1"/>
    </xf>
    <xf numFmtId="0" fontId="89" fillId="0" borderId="35" xfId="151" applyFont="1" applyFill="1" applyBorder="1" applyAlignment="1" applyProtection="1">
      <alignment horizontal="center" vertical="center" wrapText="1"/>
      <protection locked="0"/>
    </xf>
    <xf numFmtId="0" fontId="89" fillId="0" borderId="35" xfId="151" applyFont="1" applyFill="1" applyBorder="1" applyAlignment="1" applyProtection="1">
      <alignment vertical="center" wrapText="1"/>
      <protection locked="0"/>
    </xf>
    <xf numFmtId="0" fontId="89" fillId="0" borderId="15" xfId="151" applyFont="1" applyFill="1" applyBorder="1" applyAlignment="1" applyProtection="1">
      <alignment horizontal="left" vertical="center" wrapText="1"/>
      <protection locked="0"/>
    </xf>
    <xf numFmtId="0" fontId="89" fillId="0" borderId="15" xfId="151" applyFont="1" applyFill="1" applyBorder="1" applyAlignment="1" applyProtection="1">
      <alignment horizontal="center" vertical="center" wrapText="1"/>
      <protection locked="0"/>
    </xf>
    <xf numFmtId="0" fontId="89" fillId="0" borderId="15" xfId="151" applyFont="1" applyFill="1" applyBorder="1" applyAlignment="1" applyProtection="1">
      <alignment vertical="center" wrapText="1"/>
      <protection locked="0"/>
    </xf>
    <xf numFmtId="0" fontId="89" fillId="0" borderId="15" xfId="161" quotePrefix="1" applyFont="1" applyFill="1" applyBorder="1" applyAlignment="1">
      <alignment vertical="center" wrapText="1"/>
    </xf>
    <xf numFmtId="0" fontId="89" fillId="0" borderId="15" xfId="161" quotePrefix="1" applyFont="1" applyFill="1" applyBorder="1" applyAlignment="1">
      <alignment horizontal="center" vertical="center" wrapText="1"/>
    </xf>
    <xf numFmtId="0" fontId="91" fillId="0" borderId="15" xfId="151" applyFont="1" applyFill="1" applyBorder="1"/>
    <xf numFmtId="0" fontId="81" fillId="0" borderId="9" xfId="2" applyFont="1" applyFill="1" applyBorder="1" applyAlignment="1">
      <alignment horizontal="center" vertical="center" wrapText="1"/>
    </xf>
    <xf numFmtId="0" fontId="81" fillId="0" borderId="1" xfId="1" applyFont="1" applyBorder="1" applyAlignment="1">
      <alignment horizontal="center" vertical="center" wrapText="1"/>
    </xf>
    <xf numFmtId="0" fontId="81" fillId="0" borderId="1" xfId="1" applyFont="1" applyBorder="1" applyAlignment="1">
      <alignment wrapText="1"/>
    </xf>
    <xf numFmtId="0" fontId="87" fillId="0" borderId="10" xfId="187" applyFont="1" applyFill="1" applyBorder="1" applyAlignment="1">
      <alignment horizontal="left" vertical="center"/>
    </xf>
    <xf numFmtId="0" fontId="87" fillId="0" borderId="9" xfId="161" applyFont="1" applyFill="1" applyBorder="1" applyAlignment="1">
      <alignment horizontal="center" vertical="center" wrapText="1"/>
    </xf>
    <xf numFmtId="0" fontId="102" fillId="0" borderId="15" xfId="140" applyFont="1" applyFill="1" applyBorder="1" applyAlignment="1">
      <alignment horizontal="center" vertical="center" wrapText="1"/>
    </xf>
    <xf numFmtId="0" fontId="102" fillId="0" borderId="14" xfId="140" applyFont="1" applyFill="1" applyBorder="1" applyAlignment="1">
      <alignment horizontal="center" vertical="center" wrapText="1"/>
    </xf>
    <xf numFmtId="0" fontId="102" fillId="0" borderId="13" xfId="140" applyFont="1" applyFill="1" applyBorder="1" applyAlignment="1">
      <alignment horizontal="center" vertical="center" wrapText="1"/>
    </xf>
    <xf numFmtId="0" fontId="102" fillId="0" borderId="15" xfId="140" applyFont="1" applyFill="1" applyBorder="1" applyAlignment="1">
      <alignment vertical="center" wrapText="1"/>
    </xf>
    <xf numFmtId="0" fontId="102" fillId="0" borderId="14" xfId="140" applyFont="1" applyFill="1" applyBorder="1" applyAlignment="1">
      <alignment vertical="center" wrapText="1"/>
    </xf>
    <xf numFmtId="0" fontId="102" fillId="0" borderId="14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left" vertical="center" wrapText="1"/>
    </xf>
    <xf numFmtId="0" fontId="102" fillId="0" borderId="13" xfId="140" applyFont="1" applyFill="1" applyBorder="1" applyAlignment="1">
      <alignment horizontal="left" vertical="center" wrapText="1"/>
    </xf>
    <xf numFmtId="0" fontId="107" fillId="0" borderId="14" xfId="140" applyFont="1" applyFill="1" applyBorder="1" applyAlignment="1">
      <alignment horizontal="center" vertical="center" wrapText="1"/>
    </xf>
    <xf numFmtId="0" fontId="107" fillId="0" borderId="14" xfId="140" applyFont="1" applyBorder="1" applyAlignment="1">
      <alignment horizontal="center" vertical="center"/>
    </xf>
    <xf numFmtId="0" fontId="102" fillId="0" borderId="15" xfId="140" applyFont="1" applyFill="1" applyBorder="1" applyAlignment="1">
      <alignment horizontal="center" vertical="center"/>
    </xf>
    <xf numFmtId="0" fontId="107" fillId="0" borderId="13" xfId="140" applyFont="1" applyFill="1" applyBorder="1" applyAlignment="1">
      <alignment horizontal="center" vertical="center" wrapText="1"/>
    </xf>
    <xf numFmtId="0" fontId="107" fillId="0" borderId="13" xfId="140" applyFont="1" applyBorder="1" applyAlignment="1">
      <alignment horizontal="center" vertical="center"/>
    </xf>
    <xf numFmtId="0" fontId="102" fillId="0" borderId="13" xfId="140" quotePrefix="1" applyFont="1" applyFill="1" applyBorder="1" applyAlignment="1">
      <alignment vertical="center" wrapText="1"/>
    </xf>
    <xf numFmtId="1" fontId="102" fillId="0" borderId="13" xfId="140" applyNumberFormat="1" applyFont="1" applyFill="1" applyBorder="1" applyAlignment="1">
      <alignment horizontal="center" vertical="center"/>
    </xf>
    <xf numFmtId="0" fontId="107" fillId="0" borderId="36" xfId="140" applyFont="1" applyBorder="1" applyAlignment="1">
      <alignment vertical="center"/>
    </xf>
    <xf numFmtId="0" fontId="102" fillId="35" borderId="15" xfId="0" applyFont="1" applyFill="1" applyBorder="1" applyAlignment="1">
      <alignment horizontal="left" vertical="center" wrapText="1"/>
    </xf>
    <xf numFmtId="0" fontId="107" fillId="0" borderId="35" xfId="140" applyFont="1" applyBorder="1" applyAlignment="1">
      <alignment vertical="center"/>
    </xf>
    <xf numFmtId="0" fontId="107" fillId="0" borderId="18" xfId="140" applyFont="1" applyFill="1" applyBorder="1" applyAlignment="1">
      <alignment horizontal="center" vertical="center"/>
    </xf>
    <xf numFmtId="0" fontId="102" fillId="35" borderId="14" xfId="0" applyFont="1" applyFill="1" applyBorder="1" applyAlignment="1">
      <alignment horizontal="left" vertical="center" wrapText="1"/>
    </xf>
    <xf numFmtId="0" fontId="107" fillId="0" borderId="18" xfId="140" applyFont="1" applyFill="1" applyBorder="1" applyAlignment="1">
      <alignment vertical="center"/>
    </xf>
    <xf numFmtId="0" fontId="107" fillId="0" borderId="37" xfId="140" applyFont="1" applyFill="1" applyBorder="1" applyAlignment="1">
      <alignment vertical="center" wrapText="1"/>
    </xf>
    <xf numFmtId="0" fontId="107" fillId="0" borderId="39" xfId="140" applyFont="1" applyFill="1" applyBorder="1" applyAlignment="1">
      <alignment vertical="center"/>
    </xf>
    <xf numFmtId="0" fontId="107" fillId="0" borderId="39" xfId="140" applyFont="1" applyFill="1" applyBorder="1" applyAlignment="1">
      <alignment horizontal="left" vertical="center" wrapText="1"/>
    </xf>
    <xf numFmtId="9" fontId="107" fillId="0" borderId="25" xfId="140" applyNumberFormat="1" applyFont="1" applyBorder="1" applyAlignment="1">
      <alignment horizontal="center" vertical="center"/>
    </xf>
    <xf numFmtId="0" fontId="107" fillId="0" borderId="25" xfId="140" applyFont="1" applyBorder="1" applyAlignment="1">
      <alignment horizontal="left" vertical="center"/>
    </xf>
    <xf numFmtId="0" fontId="102" fillId="35" borderId="15" xfId="150" applyFont="1" applyFill="1" applyBorder="1" applyAlignment="1">
      <alignment horizontal="center" vertical="center"/>
    </xf>
    <xf numFmtId="0" fontId="102" fillId="35" borderId="14" xfId="150" applyFont="1" applyFill="1" applyBorder="1" applyAlignment="1">
      <alignment horizontal="left" vertical="center"/>
    </xf>
    <xf numFmtId="0" fontId="102" fillId="35" borderId="38" xfId="150" applyFont="1" applyFill="1" applyBorder="1" applyAlignment="1">
      <alignment horizontal="left" vertical="center" wrapText="1"/>
    </xf>
    <xf numFmtId="0" fontId="102" fillId="35" borderId="15" xfId="150" applyFont="1" applyFill="1" applyBorder="1" applyAlignment="1">
      <alignment horizontal="center" vertical="center" wrapText="1"/>
    </xf>
    <xf numFmtId="0" fontId="102" fillId="35" borderId="13" xfId="150" applyFont="1" applyFill="1" applyBorder="1" applyAlignment="1">
      <alignment horizontal="center" vertical="center"/>
    </xf>
    <xf numFmtId="0" fontId="102" fillId="35" borderId="13" xfId="150" applyFont="1" applyFill="1" applyBorder="1" applyAlignment="1">
      <alignment horizontal="left" vertical="center" wrapText="1"/>
    </xf>
    <xf numFmtId="0" fontId="102" fillId="35" borderId="39" xfId="150" applyFont="1" applyFill="1" applyBorder="1" applyAlignment="1">
      <alignment horizontal="left" vertical="center"/>
    </xf>
    <xf numFmtId="0" fontId="102" fillId="35" borderId="13" xfId="150" applyFont="1" applyFill="1" applyBorder="1" applyAlignment="1">
      <alignment horizontal="center" vertical="center" wrapText="1"/>
    </xf>
    <xf numFmtId="0" fontId="107" fillId="35" borderId="16" xfId="140" applyFont="1" applyFill="1" applyBorder="1" applyAlignment="1">
      <alignment horizontal="left" vertical="center"/>
    </xf>
    <xf numFmtId="0" fontId="107" fillId="0" borderId="14" xfId="140" applyFont="1" applyBorder="1" applyAlignment="1">
      <alignment horizontal="left" vertical="center" wrapText="1"/>
    </xf>
    <xf numFmtId="0" fontId="91" fillId="0" borderId="0" xfId="1" applyFont="1" applyFill="1"/>
    <xf numFmtId="0" fontId="149" fillId="0" borderId="0" xfId="187" applyFont="1" applyFill="1" applyAlignment="1">
      <alignment horizontal="center" vertical="center" wrapText="1"/>
    </xf>
    <xf numFmtId="0" fontId="93" fillId="0" borderId="0" xfId="0" applyFont="1" applyFill="1"/>
    <xf numFmtId="0" fontId="95" fillId="0" borderId="9" xfId="140" applyFont="1" applyFill="1" applyBorder="1" applyAlignment="1">
      <alignment horizontal="center" vertical="center" wrapText="1"/>
    </xf>
    <xf numFmtId="0" fontId="94" fillId="0" borderId="40" xfId="140" applyFont="1" applyFill="1" applyBorder="1" applyAlignment="1">
      <alignment horizontal="center" vertical="center" wrapText="1"/>
    </xf>
    <xf numFmtId="0" fontId="93" fillId="0" borderId="12" xfId="140" applyFont="1" applyFill="1" applyBorder="1" applyAlignment="1">
      <alignment horizontal="center" vertical="center" wrapText="1"/>
    </xf>
    <xf numFmtId="0" fontId="87" fillId="0" borderId="39" xfId="187" quotePrefix="1" applyFont="1" applyFill="1" applyBorder="1" applyAlignment="1">
      <alignment horizontal="center" vertical="center"/>
    </xf>
    <xf numFmtId="0" fontId="98" fillId="0" borderId="68" xfId="193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1" fillId="0" borderId="9" xfId="2" applyFont="1" applyFill="1" applyBorder="1" applyAlignment="1">
      <alignment horizontal="left" vertical="center" wrapText="1"/>
    </xf>
    <xf numFmtId="0" fontId="11" fillId="0" borderId="10" xfId="2" applyFont="1" applyFill="1" applyBorder="1" applyAlignment="1">
      <alignment horizontal="left" vertical="center" wrapText="1"/>
    </xf>
    <xf numFmtId="0" fontId="11" fillId="0" borderId="11" xfId="2" applyFont="1" applyFill="1" applyBorder="1" applyAlignment="1">
      <alignment horizontal="left" vertical="center" wrapText="1"/>
    </xf>
    <xf numFmtId="0" fontId="11" fillId="0" borderId="12" xfId="2" applyFont="1" applyFill="1" applyBorder="1" applyAlignment="1">
      <alignment horizontal="left" vertical="center" wrapText="1"/>
    </xf>
    <xf numFmtId="0" fontId="4" fillId="0" borderId="62" xfId="189" applyFont="1" applyFill="1" applyBorder="1" applyAlignment="1">
      <alignment horizontal="left" vertical="center" wrapText="1"/>
    </xf>
    <xf numFmtId="0" fontId="4" fillId="0" borderId="77" xfId="189" applyFont="1" applyFill="1" applyBorder="1" applyAlignment="1">
      <alignment horizontal="left" vertical="center" wrapText="1"/>
    </xf>
    <xf numFmtId="0" fontId="4" fillId="0" borderId="57" xfId="189" applyFont="1" applyFill="1" applyBorder="1" applyAlignment="1">
      <alignment horizontal="left" vertical="center" wrapText="1"/>
    </xf>
    <xf numFmtId="0" fontId="4" fillId="0" borderId="62" xfId="189" applyFont="1" applyFill="1" applyBorder="1" applyAlignment="1">
      <alignment horizontal="left" vertical="top" wrapText="1"/>
    </xf>
    <xf numFmtId="0" fontId="4" fillId="0" borderId="77" xfId="189" applyFont="1" applyFill="1" applyBorder="1" applyAlignment="1">
      <alignment horizontal="left" vertical="top" wrapText="1"/>
    </xf>
    <xf numFmtId="0" fontId="4" fillId="0" borderId="57" xfId="189" applyFont="1" applyFill="1" applyBorder="1" applyAlignment="1">
      <alignment horizontal="left" vertical="top" wrapText="1"/>
    </xf>
    <xf numFmtId="0" fontId="11" fillId="0" borderId="62" xfId="299" applyFont="1" applyFill="1" applyBorder="1" applyAlignment="1">
      <alignment horizontal="left" vertical="center"/>
    </xf>
    <xf numFmtId="0" fontId="11" fillId="0" borderId="77" xfId="299" applyFont="1" applyFill="1" applyBorder="1" applyAlignment="1">
      <alignment horizontal="left" vertical="center"/>
    </xf>
    <xf numFmtId="0" fontId="11" fillId="0" borderId="57" xfId="299" applyFont="1" applyFill="1" applyBorder="1" applyAlignment="1">
      <alignment horizontal="left" vertical="center"/>
    </xf>
    <xf numFmtId="0" fontId="11" fillId="0" borderId="76" xfId="181" applyFont="1" applyFill="1" applyBorder="1" applyAlignment="1">
      <alignment horizontal="center" vertical="center"/>
    </xf>
    <xf numFmtId="0" fontId="11" fillId="0" borderId="82" xfId="181" applyFont="1" applyFill="1" applyBorder="1" applyAlignment="1">
      <alignment horizontal="center" vertical="center"/>
    </xf>
    <xf numFmtId="0" fontId="11" fillId="0" borderId="15" xfId="181" applyFont="1" applyFill="1" applyBorder="1" applyAlignment="1">
      <alignment horizontal="center" vertical="center"/>
    </xf>
    <xf numFmtId="0" fontId="11" fillId="0" borderId="83" xfId="181" applyFont="1" applyFill="1" applyBorder="1" applyAlignment="1">
      <alignment horizontal="center" vertical="center"/>
    </xf>
    <xf numFmtId="0" fontId="11" fillId="0" borderId="15" xfId="181" applyFont="1" applyFill="1" applyBorder="1" applyAlignment="1">
      <alignment horizontal="right" vertical="center"/>
    </xf>
    <xf numFmtId="0" fontId="11" fillId="0" borderId="83" xfId="181" applyFont="1" applyFill="1" applyBorder="1" applyAlignment="1">
      <alignment horizontal="right" vertical="center"/>
    </xf>
    <xf numFmtId="0" fontId="11" fillId="0" borderId="62" xfId="181" applyFont="1" applyFill="1" applyBorder="1" applyAlignment="1">
      <alignment horizontal="center" vertical="center"/>
    </xf>
    <xf numFmtId="0" fontId="11" fillId="0" borderId="84" xfId="181" applyFont="1" applyFill="1" applyBorder="1" applyAlignment="1">
      <alignment horizontal="center" vertical="center"/>
    </xf>
    <xf numFmtId="0" fontId="4" fillId="0" borderId="54" xfId="140" applyFont="1" applyFill="1" applyBorder="1" applyAlignment="1">
      <alignment horizontal="left" vertical="center" wrapText="1"/>
    </xf>
    <xf numFmtId="0" fontId="4" fillId="0" borderId="68" xfId="140" applyFont="1" applyFill="1" applyBorder="1" applyAlignment="1">
      <alignment horizontal="left" vertical="center" wrapText="1"/>
    </xf>
    <xf numFmtId="0" fontId="83" fillId="0" borderId="58" xfId="189" applyFont="1" applyFill="1" applyBorder="1" applyAlignment="1">
      <alignment horizontal="left" vertical="center" wrapText="1"/>
    </xf>
    <xf numFmtId="0" fontId="83" fillId="0" borderId="58" xfId="189" applyFont="1" applyFill="1" applyBorder="1" applyAlignment="1">
      <alignment horizontal="left" vertical="center"/>
    </xf>
    <xf numFmtId="0" fontId="4" fillId="0" borderId="14" xfId="140" applyFont="1" applyFill="1" applyBorder="1" applyAlignment="1">
      <alignment horizontal="left" vertical="center" wrapText="1"/>
    </xf>
    <xf numFmtId="0" fontId="4" fillId="0" borderId="13" xfId="140" applyFont="1" applyFill="1" applyBorder="1" applyAlignment="1">
      <alignment horizontal="left" vertical="center" wrapText="1"/>
    </xf>
    <xf numFmtId="0" fontId="11" fillId="0" borderId="76" xfId="181" applyFont="1" applyFill="1" applyBorder="1" applyAlignment="1">
      <alignment horizontal="left" vertical="center" wrapText="1"/>
    </xf>
    <xf numFmtId="0" fontId="131" fillId="0" borderId="68" xfId="0" applyFont="1" applyBorder="1"/>
    <xf numFmtId="0" fontId="11" fillId="0" borderId="58" xfId="189" applyFont="1" applyFill="1" applyBorder="1" applyAlignment="1">
      <alignment horizontal="left" vertical="center" wrapText="1"/>
    </xf>
    <xf numFmtId="0" fontId="11" fillId="0" borderId="58" xfId="189" applyFont="1" applyFill="1" applyBorder="1" applyAlignment="1">
      <alignment horizontal="left" vertical="center"/>
    </xf>
    <xf numFmtId="0" fontId="11" fillId="0" borderId="63" xfId="300" applyFont="1" applyFill="1" applyBorder="1" applyAlignment="1">
      <alignment horizontal="left" vertical="center" wrapText="1"/>
    </xf>
    <xf numFmtId="0" fontId="11" fillId="0" borderId="81" xfId="300" applyFont="1" applyFill="1" applyBorder="1" applyAlignment="1">
      <alignment horizontal="left" vertical="center" wrapText="1"/>
    </xf>
    <xf numFmtId="0" fontId="11" fillId="0" borderId="58" xfId="300" applyFont="1" applyFill="1" applyBorder="1" applyAlignment="1">
      <alignment horizontal="left" vertical="center" wrapText="1"/>
    </xf>
    <xf numFmtId="0" fontId="11" fillId="0" borderId="9" xfId="300" applyFont="1" applyFill="1" applyBorder="1" applyAlignment="1">
      <alignment horizontal="left" vertical="center" wrapText="1"/>
    </xf>
    <xf numFmtId="0" fontId="14" fillId="0" borderId="81" xfId="300" applyFont="1" applyFill="1" applyBorder="1" applyAlignment="1">
      <alignment horizontal="center" vertical="center" wrapText="1"/>
    </xf>
    <xf numFmtId="0" fontId="14" fillId="0" borderId="9" xfId="300" applyFont="1" applyFill="1" applyBorder="1" applyAlignment="1">
      <alignment horizontal="center" vertical="center" wrapText="1"/>
    </xf>
    <xf numFmtId="0" fontId="11" fillId="0" borderId="68" xfId="181" applyFont="1" applyFill="1" applyBorder="1" applyAlignment="1">
      <alignment horizontal="left" vertical="center" wrapText="1"/>
    </xf>
    <xf numFmtId="0" fontId="4" fillId="0" borderId="54" xfId="181" applyFont="1" applyFill="1" applyBorder="1" applyAlignment="1">
      <alignment horizontal="left" vertical="center" wrapText="1"/>
    </xf>
    <xf numFmtId="0" fontId="83" fillId="0" borderId="76" xfId="181" applyFont="1" applyFill="1" applyBorder="1" applyAlignment="1">
      <alignment horizontal="left" vertical="center" wrapText="1"/>
    </xf>
    <xf numFmtId="0" fontId="83" fillId="0" borderId="68" xfId="181" applyFont="1" applyFill="1" applyBorder="1" applyAlignment="1">
      <alignment horizontal="left" vertical="center" wrapText="1"/>
    </xf>
    <xf numFmtId="0" fontId="4" fillId="0" borderId="15" xfId="189" applyFont="1" applyFill="1" applyBorder="1" applyAlignment="1">
      <alignment horizontal="left" vertical="center" wrapText="1"/>
    </xf>
    <xf numFmtId="0" fontId="4" fillId="0" borderId="13" xfId="189" applyFont="1" applyFill="1" applyBorder="1" applyAlignment="1">
      <alignment horizontal="left" vertical="center" wrapText="1"/>
    </xf>
    <xf numFmtId="0" fontId="4" fillId="0" borderId="15" xfId="185" applyFont="1" applyFill="1" applyBorder="1" applyAlignment="1">
      <alignment horizontal="left" vertical="center" wrapText="1"/>
    </xf>
    <xf numFmtId="0" fontId="0" fillId="0" borderId="14" xfId="0" applyBorder="1"/>
    <xf numFmtId="0" fontId="4" fillId="0" borderId="62" xfId="181" applyFont="1" applyFill="1" applyBorder="1" applyAlignment="1">
      <alignment horizontal="left" vertical="center"/>
    </xf>
    <xf numFmtId="0" fontId="4" fillId="0" borderId="77" xfId="181" applyFont="1" applyFill="1" applyBorder="1" applyAlignment="1">
      <alignment horizontal="left" vertical="center"/>
    </xf>
    <xf numFmtId="0" fontId="81" fillId="0" borderId="54" xfId="140" applyFont="1" applyFill="1" applyBorder="1" applyAlignment="1">
      <alignment horizontal="left" vertical="center" wrapText="1"/>
    </xf>
    <xf numFmtId="0" fontId="81" fillId="0" borderId="68" xfId="140" applyFont="1" applyFill="1" applyBorder="1" applyAlignment="1">
      <alignment horizontal="left" vertical="center" wrapText="1"/>
    </xf>
    <xf numFmtId="0" fontId="86" fillId="0" borderId="15" xfId="187" applyFont="1" applyFill="1" applyBorder="1" applyAlignment="1">
      <alignment horizontal="center" vertical="center" wrapText="1"/>
    </xf>
    <xf numFmtId="0" fontId="96" fillId="0" borderId="14" xfId="187" applyFont="1" applyFill="1" applyBorder="1"/>
    <xf numFmtId="0" fontId="96" fillId="0" borderId="13" xfId="187" applyFont="1" applyFill="1" applyBorder="1"/>
    <xf numFmtId="0" fontId="86" fillId="0" borderId="14" xfId="187" applyFont="1" applyFill="1" applyBorder="1" applyAlignment="1">
      <alignment horizontal="center" vertical="center" wrapText="1"/>
    </xf>
    <xf numFmtId="0" fontId="86" fillId="0" borderId="13" xfId="187" applyFont="1" applyFill="1" applyBorder="1" applyAlignment="1">
      <alignment horizontal="center" vertical="center" wrapText="1"/>
    </xf>
    <xf numFmtId="0" fontId="96" fillId="0" borderId="14" xfId="187" applyFont="1" applyFill="1" applyBorder="1" applyAlignment="1">
      <alignment horizontal="center"/>
    </xf>
    <xf numFmtId="0" fontId="96" fillId="0" borderId="13" xfId="187" applyFont="1" applyFill="1" applyBorder="1" applyAlignment="1">
      <alignment horizontal="center"/>
    </xf>
    <xf numFmtId="0" fontId="86" fillId="0" borderId="15" xfId="187" applyFont="1" applyFill="1" applyBorder="1" applyAlignment="1">
      <alignment horizontal="center" vertical="center"/>
    </xf>
    <xf numFmtId="0" fontId="86" fillId="0" borderId="14" xfId="187" applyFont="1" applyFill="1" applyBorder="1" applyAlignment="1">
      <alignment horizontal="center" vertical="center"/>
    </xf>
    <xf numFmtId="0" fontId="86" fillId="0" borderId="13" xfId="187" applyFont="1" applyFill="1" applyBorder="1" applyAlignment="1">
      <alignment horizontal="center" vertical="center"/>
    </xf>
    <xf numFmtId="0" fontId="86" fillId="0" borderId="36" xfId="187" applyFont="1" applyFill="1" applyBorder="1" applyAlignment="1">
      <alignment horizontal="center" vertical="center" wrapText="1"/>
    </xf>
    <xf numFmtId="0" fontId="86" fillId="0" borderId="35" xfId="187" applyFont="1" applyFill="1" applyBorder="1" applyAlignment="1">
      <alignment horizontal="center" vertical="center" wrapText="1"/>
    </xf>
    <xf numFmtId="0" fontId="86" fillId="0" borderId="37" xfId="187" applyFont="1" applyFill="1" applyBorder="1" applyAlignment="1">
      <alignment horizontal="center" vertical="center" wrapText="1"/>
    </xf>
    <xf numFmtId="0" fontId="86" fillId="0" borderId="10" xfId="187" applyFont="1" applyFill="1" applyBorder="1" applyAlignment="1">
      <alignment horizontal="left" vertical="center"/>
    </xf>
    <xf numFmtId="0" fontId="86" fillId="0" borderId="11" xfId="187" applyFont="1" applyFill="1" applyBorder="1" applyAlignment="1">
      <alignment horizontal="left" vertical="center"/>
    </xf>
    <xf numFmtId="0" fontId="86" fillId="0" borderId="12" xfId="187" applyFont="1" applyFill="1" applyBorder="1" applyAlignment="1">
      <alignment horizontal="left" vertical="center"/>
    </xf>
    <xf numFmtId="0" fontId="87" fillId="0" borderId="10" xfId="187" applyFont="1" applyFill="1" applyBorder="1" applyAlignment="1">
      <alignment horizontal="left" vertical="center"/>
    </xf>
    <xf numFmtId="0" fontId="87" fillId="0" borderId="11" xfId="187" applyFont="1" applyFill="1" applyBorder="1" applyAlignment="1">
      <alignment horizontal="left" vertical="center"/>
    </xf>
    <xf numFmtId="0" fontId="87" fillId="0" borderId="12" xfId="187" applyFont="1" applyFill="1" applyBorder="1" applyAlignment="1">
      <alignment horizontal="left" vertical="center"/>
    </xf>
    <xf numFmtId="14" fontId="87" fillId="0" borderId="10" xfId="187" quotePrefix="1" applyNumberFormat="1" applyFont="1" applyFill="1" applyBorder="1" applyAlignment="1">
      <alignment horizontal="left" vertical="center"/>
    </xf>
    <xf numFmtId="14" fontId="87" fillId="0" borderId="11" xfId="187" applyNumberFormat="1" applyFont="1" applyFill="1" applyBorder="1" applyAlignment="1">
      <alignment horizontal="left" vertical="center"/>
    </xf>
    <xf numFmtId="14" fontId="87" fillId="0" borderId="12" xfId="187" applyNumberFormat="1" applyFont="1" applyFill="1" applyBorder="1" applyAlignment="1">
      <alignment horizontal="left" vertical="center"/>
    </xf>
    <xf numFmtId="0" fontId="86" fillId="0" borderId="9" xfId="187" applyFont="1" applyFill="1" applyBorder="1" applyAlignment="1">
      <alignment horizontal="left" vertical="center"/>
    </xf>
    <xf numFmtId="0" fontId="86" fillId="0" borderId="10" xfId="187" applyFont="1" applyFill="1" applyBorder="1" applyAlignment="1">
      <alignment horizontal="left" vertical="center" wrapText="1"/>
    </xf>
    <xf numFmtId="0" fontId="86" fillId="0" borderId="11" xfId="187" applyFont="1" applyFill="1" applyBorder="1" applyAlignment="1">
      <alignment horizontal="left" vertical="center" wrapText="1"/>
    </xf>
    <xf numFmtId="0" fontId="86" fillId="0" borderId="12" xfId="187" applyFont="1" applyFill="1" applyBorder="1" applyAlignment="1">
      <alignment horizontal="left" vertical="center" wrapText="1"/>
    </xf>
    <xf numFmtId="0" fontId="86" fillId="0" borderId="10" xfId="187" applyFont="1" applyFill="1" applyBorder="1" applyAlignment="1">
      <alignment horizontal="right" vertical="center"/>
    </xf>
    <xf numFmtId="0" fontId="86" fillId="0" borderId="11" xfId="187" applyFont="1" applyFill="1" applyBorder="1" applyAlignment="1">
      <alignment horizontal="right" vertical="center"/>
    </xf>
    <xf numFmtId="0" fontId="86" fillId="0" borderId="12" xfId="187" applyFont="1" applyFill="1" applyBorder="1" applyAlignment="1">
      <alignment horizontal="right" vertical="center"/>
    </xf>
    <xf numFmtId="0" fontId="87" fillId="0" borderId="39" xfId="187" quotePrefix="1" applyFont="1" applyFill="1" applyBorder="1" applyAlignment="1">
      <alignment horizontal="center" vertical="center"/>
    </xf>
    <xf numFmtId="0" fontId="87" fillId="0" borderId="25" xfId="187" applyFont="1" applyFill="1" applyBorder="1" applyAlignment="1">
      <alignment horizontal="center" vertical="center"/>
    </xf>
    <xf numFmtId="0" fontId="87" fillId="0" borderId="37" xfId="187" applyFont="1" applyFill="1" applyBorder="1" applyAlignment="1">
      <alignment horizontal="center" vertical="center"/>
    </xf>
    <xf numFmtId="0" fontId="86" fillId="0" borderId="10" xfId="187" quotePrefix="1" applyFont="1" applyFill="1" applyBorder="1" applyAlignment="1">
      <alignment horizontal="left" vertical="center"/>
    </xf>
    <xf numFmtId="14" fontId="86" fillId="0" borderId="10" xfId="187" quotePrefix="1" applyNumberFormat="1" applyFont="1" applyFill="1" applyBorder="1" applyAlignment="1">
      <alignment horizontal="left" vertical="center"/>
    </xf>
    <xf numFmtId="14" fontId="86" fillId="0" borderId="11" xfId="187" quotePrefix="1" applyNumberFormat="1" applyFont="1" applyFill="1" applyBorder="1" applyAlignment="1">
      <alignment horizontal="left" vertical="center"/>
    </xf>
    <xf numFmtId="14" fontId="86" fillId="0" borderId="12" xfId="187" quotePrefix="1" applyNumberFormat="1" applyFont="1" applyFill="1" applyBorder="1" applyAlignment="1">
      <alignment horizontal="left" vertical="center"/>
    </xf>
    <xf numFmtId="1" fontId="86" fillId="0" borderId="10" xfId="187" quotePrefix="1" applyNumberFormat="1" applyFont="1" applyFill="1" applyBorder="1" applyAlignment="1">
      <alignment horizontal="left" vertical="center"/>
    </xf>
    <xf numFmtId="0" fontId="87" fillId="0" borderId="10" xfId="187" quotePrefix="1" applyFont="1" applyFill="1" applyBorder="1" applyAlignment="1">
      <alignment horizontal="left" vertical="center"/>
    </xf>
    <xf numFmtId="0" fontId="86" fillId="0" borderId="15" xfId="187" applyFont="1" applyFill="1" applyBorder="1" applyAlignment="1">
      <alignment horizontal="center" vertical="center" wrapText="1" shrinkToFit="1"/>
    </xf>
    <xf numFmtId="0" fontId="86" fillId="0" borderId="14" xfId="187" applyFont="1" applyFill="1" applyBorder="1" applyAlignment="1">
      <alignment horizontal="center" vertical="center" wrapText="1" shrinkToFit="1"/>
    </xf>
    <xf numFmtId="0" fontId="86" fillId="0" borderId="13" xfId="187" applyFont="1" applyFill="1" applyBorder="1" applyAlignment="1">
      <alignment horizontal="center" vertical="center" wrapText="1" shrinkToFit="1"/>
    </xf>
    <xf numFmtId="0" fontId="86" fillId="0" borderId="10" xfId="187" applyFont="1" applyFill="1" applyBorder="1" applyAlignment="1">
      <alignment vertical="center" wrapText="1"/>
    </xf>
    <xf numFmtId="0" fontId="86" fillId="0" borderId="12" xfId="187" applyFont="1" applyFill="1" applyBorder="1" applyAlignment="1">
      <alignment vertical="center" wrapText="1"/>
    </xf>
    <xf numFmtId="1" fontId="86" fillId="0" borderId="10" xfId="187" applyNumberFormat="1" applyFont="1" applyFill="1" applyBorder="1" applyAlignment="1">
      <alignment horizontal="left" vertical="center"/>
    </xf>
    <xf numFmtId="1" fontId="86" fillId="0" borderId="11" xfId="187" applyNumberFormat="1" applyFont="1" applyFill="1" applyBorder="1" applyAlignment="1">
      <alignment horizontal="left" vertical="center"/>
    </xf>
    <xf numFmtId="1" fontId="86" fillId="0" borderId="12" xfId="187" applyNumberFormat="1" applyFont="1" applyFill="1" applyBorder="1" applyAlignment="1">
      <alignment horizontal="left" vertical="center"/>
    </xf>
    <xf numFmtId="0" fontId="87" fillId="0" borderId="25" xfId="187" applyFont="1" applyFill="1" applyBorder="1" applyAlignment="1">
      <alignment horizontal="left" vertical="center"/>
    </xf>
    <xf numFmtId="0" fontId="87" fillId="0" borderId="37" xfId="187" applyFont="1" applyFill="1" applyBorder="1" applyAlignment="1">
      <alignment horizontal="left" vertical="center"/>
    </xf>
    <xf numFmtId="0" fontId="86" fillId="0" borderId="39" xfId="187" applyFont="1" applyFill="1" applyBorder="1" applyAlignment="1">
      <alignment horizontal="left" vertical="center"/>
    </xf>
    <xf numFmtId="0" fontId="86" fillId="0" borderId="25" xfId="187" applyFont="1" applyFill="1" applyBorder="1" applyAlignment="1">
      <alignment horizontal="left" vertical="center"/>
    </xf>
    <xf numFmtId="0" fontId="86" fillId="0" borderId="37" xfId="187" applyFont="1" applyFill="1" applyBorder="1" applyAlignment="1">
      <alignment horizontal="left" vertical="center"/>
    </xf>
    <xf numFmtId="0" fontId="86" fillId="0" borderId="38" xfId="187" applyFont="1" applyFill="1" applyBorder="1" applyAlignment="1">
      <alignment horizontal="left" vertical="center" wrapText="1"/>
    </xf>
    <xf numFmtId="0" fontId="86" fillId="0" borderId="16" xfId="187" applyFont="1" applyFill="1" applyBorder="1" applyAlignment="1">
      <alignment horizontal="left" vertical="center" wrapText="1"/>
    </xf>
    <xf numFmtId="0" fontId="86" fillId="0" borderId="36" xfId="187" applyFont="1" applyFill="1" applyBorder="1" applyAlignment="1">
      <alignment horizontal="left" vertical="center" wrapText="1"/>
    </xf>
    <xf numFmtId="0" fontId="86" fillId="0" borderId="18" xfId="187" applyFont="1" applyFill="1" applyBorder="1" applyAlignment="1">
      <alignment horizontal="left" vertical="center" wrapText="1"/>
    </xf>
    <xf numFmtId="0" fontId="86" fillId="0" borderId="0" xfId="187" applyFont="1" applyFill="1" applyBorder="1" applyAlignment="1">
      <alignment horizontal="left" vertical="center" wrapText="1"/>
    </xf>
    <xf numFmtId="0" fontId="86" fillId="0" borderId="35" xfId="187" applyFont="1" applyFill="1" applyBorder="1" applyAlignment="1">
      <alignment horizontal="left" vertical="center" wrapText="1"/>
    </xf>
    <xf numFmtId="0" fontId="86" fillId="0" borderId="39" xfId="187" applyFont="1" applyFill="1" applyBorder="1" applyAlignment="1">
      <alignment horizontal="left" vertical="center" wrapText="1"/>
    </xf>
    <xf numFmtId="0" fontId="86" fillId="0" borderId="25" xfId="187" applyFont="1" applyFill="1" applyBorder="1" applyAlignment="1">
      <alignment horizontal="left" vertical="center" wrapText="1"/>
    </xf>
    <xf numFmtId="0" fontId="86" fillId="0" borderId="37" xfId="187" applyFont="1" applyFill="1" applyBorder="1" applyAlignment="1">
      <alignment horizontal="left" vertical="center" wrapText="1"/>
    </xf>
    <xf numFmtId="0" fontId="87" fillId="0" borderId="38" xfId="187" applyFont="1" applyFill="1" applyBorder="1" applyAlignment="1">
      <alignment horizontal="center" vertical="center" wrapText="1"/>
    </xf>
    <xf numFmtId="0" fontId="87" fillId="0" borderId="16" xfId="187" applyFont="1" applyFill="1" applyBorder="1" applyAlignment="1">
      <alignment horizontal="center" vertical="center" wrapText="1"/>
    </xf>
    <xf numFmtId="0" fontId="87" fillId="0" borderId="36" xfId="187" applyFont="1" applyFill="1" applyBorder="1" applyAlignment="1">
      <alignment horizontal="center" vertical="center" wrapText="1"/>
    </xf>
    <xf numFmtId="0" fontId="87" fillId="0" borderId="18" xfId="187" applyFont="1" applyFill="1" applyBorder="1" applyAlignment="1">
      <alignment horizontal="center" vertical="center" wrapText="1"/>
    </xf>
    <xf numFmtId="0" fontId="87" fillId="0" borderId="0" xfId="187" applyFont="1" applyFill="1" applyBorder="1" applyAlignment="1">
      <alignment horizontal="center" vertical="center" wrapText="1"/>
    </xf>
    <xf numFmtId="0" fontId="87" fillId="0" borderId="35" xfId="187" applyFont="1" applyFill="1" applyBorder="1" applyAlignment="1">
      <alignment horizontal="center" vertical="center" wrapText="1"/>
    </xf>
    <xf numFmtId="0" fontId="87" fillId="0" borderId="39" xfId="187" applyFont="1" applyFill="1" applyBorder="1" applyAlignment="1">
      <alignment horizontal="center" vertical="center" wrapText="1"/>
    </xf>
    <xf numFmtId="0" fontId="87" fillId="0" borderId="25" xfId="187" applyFont="1" applyFill="1" applyBorder="1" applyAlignment="1">
      <alignment horizontal="center" vertical="center" wrapText="1"/>
    </xf>
    <xf numFmtId="0" fontId="87" fillId="0" borderId="37" xfId="187" applyFont="1" applyFill="1" applyBorder="1" applyAlignment="1">
      <alignment horizontal="center" vertical="center" wrapText="1"/>
    </xf>
    <xf numFmtId="0" fontId="2" fillId="0" borderId="11" xfId="140" applyBorder="1" applyAlignment="1">
      <alignment horizontal="left" vertical="center"/>
    </xf>
    <xf numFmtId="0" fontId="2" fillId="0" borderId="12" xfId="140" applyBorder="1" applyAlignment="1">
      <alignment horizontal="left" vertical="center"/>
    </xf>
    <xf numFmtId="0" fontId="86" fillId="0" borderId="76" xfId="187" applyFont="1" applyFill="1" applyBorder="1" applyAlignment="1">
      <alignment horizontal="center" vertical="center"/>
    </xf>
    <xf numFmtId="0" fontId="86" fillId="0" borderId="54" xfId="187" applyFont="1" applyFill="1" applyBorder="1" applyAlignment="1">
      <alignment horizontal="center" vertical="center"/>
    </xf>
    <xf numFmtId="0" fontId="86" fillId="0" borderId="68" xfId="187" applyFont="1" applyFill="1" applyBorder="1" applyAlignment="1">
      <alignment horizontal="center" vertical="center"/>
    </xf>
    <xf numFmtId="0" fontId="86" fillId="0" borderId="58" xfId="187" applyFont="1" applyFill="1" applyBorder="1" applyAlignment="1">
      <alignment horizontal="left" vertical="center"/>
    </xf>
    <xf numFmtId="0" fontId="87" fillId="0" borderId="45" xfId="187" applyFont="1" applyFill="1" applyBorder="1" applyAlignment="1">
      <alignment horizontal="left" vertical="center"/>
    </xf>
    <xf numFmtId="0" fontId="86" fillId="0" borderId="73" xfId="187" applyFont="1" applyFill="1" applyBorder="1" applyAlignment="1">
      <alignment horizontal="center" vertical="center" wrapText="1"/>
    </xf>
    <xf numFmtId="0" fontId="86" fillId="0" borderId="2" xfId="187" applyFont="1" applyFill="1" applyBorder="1" applyAlignment="1">
      <alignment horizontal="center" vertical="center" wrapText="1"/>
    </xf>
    <xf numFmtId="0" fontId="86" fillId="0" borderId="74" xfId="187" applyFont="1" applyFill="1" applyBorder="1" applyAlignment="1">
      <alignment horizontal="center" vertical="center" wrapText="1"/>
    </xf>
    <xf numFmtId="0" fontId="86" fillId="0" borderId="64" xfId="187" applyFont="1" applyFill="1" applyBorder="1" applyAlignment="1">
      <alignment horizontal="left" vertical="center"/>
    </xf>
    <xf numFmtId="0" fontId="86" fillId="0" borderId="42" xfId="187" applyFont="1" applyFill="1" applyBorder="1" applyAlignment="1">
      <alignment horizontal="left" vertical="center"/>
    </xf>
    <xf numFmtId="0" fontId="86" fillId="0" borderId="43" xfId="187" applyFont="1" applyFill="1" applyBorder="1" applyAlignment="1">
      <alignment horizontal="left" vertical="center"/>
    </xf>
    <xf numFmtId="0" fontId="2" fillId="0" borderId="11" xfId="140" applyFill="1" applyBorder="1" applyAlignment="1">
      <alignment horizontal="left" vertical="center"/>
    </xf>
    <xf numFmtId="0" fontId="2" fillId="0" borderId="45" xfId="140" applyFill="1" applyBorder="1" applyAlignment="1">
      <alignment horizontal="left" vertical="center"/>
    </xf>
    <xf numFmtId="14" fontId="87" fillId="0" borderId="45" xfId="187" applyNumberFormat="1" applyFont="1" applyFill="1" applyBorder="1" applyAlignment="1">
      <alignment horizontal="left" vertical="center"/>
    </xf>
    <xf numFmtId="0" fontId="87" fillId="0" borderId="15" xfId="187" applyFont="1" applyFill="1" applyBorder="1" applyAlignment="1">
      <alignment horizontal="center" vertical="center" wrapText="1"/>
    </xf>
    <xf numFmtId="0" fontId="87" fillId="0" borderId="14" xfId="187" applyFont="1" applyFill="1" applyBorder="1" applyAlignment="1">
      <alignment horizontal="center" vertical="center" wrapText="1"/>
    </xf>
    <xf numFmtId="0" fontId="87" fillId="0" borderId="13" xfId="187" applyFont="1" applyFill="1" applyBorder="1" applyAlignment="1">
      <alignment horizontal="center" vertical="center" wrapText="1"/>
    </xf>
    <xf numFmtId="0" fontId="87" fillId="0" borderId="15" xfId="187" applyFont="1" applyFill="1" applyBorder="1" applyAlignment="1">
      <alignment vertical="center" wrapText="1"/>
    </xf>
    <xf numFmtId="0" fontId="87" fillId="0" borderId="14" xfId="187" applyFont="1" applyFill="1" applyBorder="1" applyAlignment="1">
      <alignment vertical="center" wrapText="1"/>
    </xf>
    <xf numFmtId="0" fontId="87" fillId="0" borderId="13" xfId="187" applyFont="1" applyFill="1" applyBorder="1" applyAlignment="1">
      <alignment vertical="center" wrapText="1"/>
    </xf>
    <xf numFmtId="0" fontId="87" fillId="0" borderId="11" xfId="187" quotePrefix="1" applyFont="1" applyFill="1" applyBorder="1" applyAlignment="1">
      <alignment horizontal="left" vertical="center"/>
    </xf>
    <xf numFmtId="0" fontId="87" fillId="0" borderId="12" xfId="187" quotePrefix="1" applyFont="1" applyFill="1" applyBorder="1" applyAlignment="1">
      <alignment horizontal="left" vertical="center"/>
    </xf>
    <xf numFmtId="0" fontId="87" fillId="0" borderId="15" xfId="187" applyFont="1" applyFill="1" applyBorder="1" applyAlignment="1">
      <alignment horizontal="left" vertical="center" wrapText="1"/>
    </xf>
    <xf numFmtId="0" fontId="87" fillId="0" borderId="14" xfId="187" applyFont="1" applyFill="1" applyBorder="1" applyAlignment="1">
      <alignment horizontal="left" vertical="center" wrapText="1"/>
    </xf>
    <xf numFmtId="0" fontId="87" fillId="0" borderId="13" xfId="187" applyFont="1" applyFill="1" applyBorder="1" applyAlignment="1">
      <alignment horizontal="left" vertical="center" wrapText="1"/>
    </xf>
    <xf numFmtId="0" fontId="87" fillId="0" borderId="15" xfId="187" applyFont="1" applyFill="1" applyBorder="1" applyAlignment="1">
      <alignment horizontal="center" vertical="center" wrapText="1" shrinkToFit="1"/>
    </xf>
    <xf numFmtId="0" fontId="87" fillId="0" borderId="14" xfId="187" applyFont="1" applyFill="1" applyBorder="1" applyAlignment="1">
      <alignment horizontal="center" vertical="center" wrapText="1" shrinkToFit="1"/>
    </xf>
    <xf numFmtId="0" fontId="87" fillId="0" borderId="13" xfId="187" applyFont="1" applyFill="1" applyBorder="1" applyAlignment="1">
      <alignment horizontal="center" vertical="center" wrapText="1" shrinkToFit="1"/>
    </xf>
    <xf numFmtId="14" fontId="87" fillId="0" borderId="11" xfId="187" quotePrefix="1" applyNumberFormat="1" applyFont="1" applyFill="1" applyBorder="1" applyAlignment="1">
      <alignment horizontal="left" vertical="center"/>
    </xf>
    <xf numFmtId="14" fontId="87" fillId="0" borderId="12" xfId="187" quotePrefix="1" applyNumberFormat="1" applyFont="1" applyFill="1" applyBorder="1" applyAlignment="1">
      <alignment horizontal="left" vertical="center"/>
    </xf>
    <xf numFmtId="0" fontId="87" fillId="0" borderId="10" xfId="187" quotePrefix="1" applyFont="1" applyFill="1" applyBorder="1" applyAlignment="1">
      <alignment horizontal="center" vertical="center"/>
    </xf>
    <xf numFmtId="0" fontId="87" fillId="0" borderId="11" xfId="187" quotePrefix="1" applyFont="1" applyFill="1" applyBorder="1" applyAlignment="1">
      <alignment horizontal="center" vertical="center"/>
    </xf>
    <xf numFmtId="0" fontId="87" fillId="0" borderId="12" xfId="187" quotePrefix="1" applyFont="1" applyFill="1" applyBorder="1" applyAlignment="1">
      <alignment horizontal="center" vertical="center"/>
    </xf>
    <xf numFmtId="0" fontId="87" fillId="0" borderId="15" xfId="187" applyFont="1" applyFill="1" applyBorder="1" applyAlignment="1">
      <alignment horizontal="center" vertical="center"/>
    </xf>
    <xf numFmtId="0" fontId="87" fillId="0" borderId="14" xfId="187" applyFont="1" applyFill="1" applyBorder="1" applyAlignment="1">
      <alignment horizontal="center" vertical="center"/>
    </xf>
    <xf numFmtId="0" fontId="87" fillId="0" borderId="13" xfId="187" applyFont="1" applyFill="1" applyBorder="1" applyAlignment="1">
      <alignment horizontal="center" vertical="center"/>
    </xf>
    <xf numFmtId="0" fontId="92" fillId="0" borderId="15" xfId="151" quotePrefix="1" applyFont="1" applyFill="1" applyBorder="1" applyAlignment="1">
      <alignment horizontal="center" vertical="center" wrapText="1"/>
    </xf>
    <xf numFmtId="0" fontId="92" fillId="0" borderId="14" xfId="151" quotePrefix="1" applyFont="1" applyFill="1" applyBorder="1" applyAlignment="1">
      <alignment horizontal="center" vertical="center" wrapText="1"/>
    </xf>
    <xf numFmtId="0" fontId="92" fillId="0" borderId="13" xfId="151" quotePrefix="1" applyFont="1" applyFill="1" applyBorder="1" applyAlignment="1">
      <alignment horizontal="center" vertical="center" wrapText="1"/>
    </xf>
    <xf numFmtId="0" fontId="92" fillId="0" borderId="15" xfId="151" applyFont="1" applyFill="1" applyBorder="1" applyAlignment="1">
      <alignment horizontal="center" vertical="center" wrapText="1"/>
    </xf>
    <xf numFmtId="0" fontId="92" fillId="0" borderId="14" xfId="151" applyFont="1" applyFill="1" applyBorder="1" applyAlignment="1">
      <alignment horizontal="center" vertical="center" wrapText="1"/>
    </xf>
    <xf numFmtId="0" fontId="92" fillId="0" borderId="13" xfId="151" applyFont="1" applyFill="1" applyBorder="1" applyAlignment="1">
      <alignment horizontal="center" vertical="center" wrapText="1"/>
    </xf>
    <xf numFmtId="0" fontId="87" fillId="0" borderId="36" xfId="187" applyFont="1" applyFill="1" applyBorder="1" applyAlignment="1">
      <alignment vertical="center" wrapText="1"/>
    </xf>
    <xf numFmtId="0" fontId="87" fillId="0" borderId="35" xfId="187" applyFont="1" applyFill="1" applyBorder="1" applyAlignment="1">
      <alignment vertical="center" wrapText="1"/>
    </xf>
    <xf numFmtId="0" fontId="87" fillId="0" borderId="37" xfId="187" applyFont="1" applyFill="1" applyBorder="1" applyAlignment="1">
      <alignment vertical="center" wrapText="1"/>
    </xf>
    <xf numFmtId="0" fontId="89" fillId="0" borderId="14" xfId="187" applyFont="1" applyFill="1" applyBorder="1" applyAlignment="1">
      <alignment horizontal="left"/>
    </xf>
    <xf numFmtId="0" fontId="89" fillId="0" borderId="13" xfId="187" applyFont="1" applyFill="1" applyBorder="1" applyAlignment="1">
      <alignment horizontal="left"/>
    </xf>
    <xf numFmtId="0" fontId="87" fillId="0" borderId="15" xfId="151" quotePrefix="1" applyFont="1" applyFill="1" applyBorder="1" applyAlignment="1">
      <alignment horizontal="center" vertical="center" wrapText="1"/>
    </xf>
    <xf numFmtId="0" fontId="87" fillId="0" borderId="14" xfId="151" quotePrefix="1" applyFont="1" applyFill="1" applyBorder="1" applyAlignment="1">
      <alignment horizontal="center" vertical="center" wrapText="1"/>
    </xf>
    <xf numFmtId="0" fontId="87" fillId="0" borderId="15" xfId="151" applyFont="1" applyFill="1" applyBorder="1" applyAlignment="1">
      <alignment horizontal="center" vertical="center" wrapText="1"/>
    </xf>
    <xf numFmtId="0" fontId="87" fillId="0" borderId="14" xfId="151" applyFont="1" applyFill="1" applyBorder="1" applyAlignment="1">
      <alignment horizontal="center" vertical="center" wrapText="1"/>
    </xf>
    <xf numFmtId="0" fontId="89" fillId="0" borderId="14" xfId="187" applyFont="1" applyFill="1" applyBorder="1" applyAlignment="1">
      <alignment horizontal="center"/>
    </xf>
    <xf numFmtId="0" fontId="89" fillId="0" borderId="13" xfId="187" applyFont="1" applyFill="1" applyBorder="1" applyAlignment="1">
      <alignment horizontal="center"/>
    </xf>
    <xf numFmtId="0" fontId="89" fillId="0" borderId="14" xfId="187" applyFont="1" applyFill="1" applyBorder="1"/>
    <xf numFmtId="0" fontId="89" fillId="0" borderId="13" xfId="187" applyFont="1" applyFill="1" applyBorder="1"/>
    <xf numFmtId="0" fontId="87" fillId="0" borderId="76" xfId="187" quotePrefix="1" applyFont="1" applyFill="1" applyBorder="1" applyAlignment="1">
      <alignment horizontal="center" vertical="center"/>
    </xf>
    <xf numFmtId="0" fontId="87" fillId="0" borderId="54" xfId="187" quotePrefix="1" applyFont="1" applyFill="1" applyBorder="1" applyAlignment="1">
      <alignment horizontal="center" vertical="center"/>
    </xf>
    <xf numFmtId="0" fontId="87" fillId="0" borderId="82" xfId="187" quotePrefix="1" applyFont="1" applyFill="1" applyBorder="1" applyAlignment="1">
      <alignment horizontal="center" vertical="center"/>
    </xf>
    <xf numFmtId="0" fontId="87" fillId="0" borderId="83" xfId="187" applyFont="1" applyFill="1" applyBorder="1" applyAlignment="1">
      <alignment horizontal="center" vertical="center" wrapText="1"/>
    </xf>
    <xf numFmtId="0" fontId="86" fillId="0" borderId="3" xfId="187" applyFont="1" applyFill="1" applyBorder="1" applyAlignment="1">
      <alignment horizontal="left" vertical="center" wrapText="1"/>
    </xf>
    <xf numFmtId="0" fontId="86" fillId="0" borderId="4" xfId="187" applyFont="1" applyFill="1" applyBorder="1" applyAlignment="1">
      <alignment horizontal="left" vertical="center" wrapText="1"/>
    </xf>
    <xf numFmtId="0" fontId="86" fillId="0" borderId="56" xfId="187" applyFont="1" applyFill="1" applyBorder="1" applyAlignment="1">
      <alignment horizontal="left" vertical="center" wrapText="1"/>
    </xf>
    <xf numFmtId="0" fontId="86" fillId="0" borderId="1" xfId="187" applyFont="1" applyFill="1" applyBorder="1" applyAlignment="1">
      <alignment horizontal="left" vertical="center" wrapText="1"/>
    </xf>
    <xf numFmtId="0" fontId="86" fillId="0" borderId="75" xfId="187" applyFont="1" applyFill="1" applyBorder="1" applyAlignment="1">
      <alignment horizontal="left" vertical="center" wrapText="1"/>
    </xf>
    <xf numFmtId="0" fontId="87" fillId="0" borderId="55" xfId="187" applyFont="1" applyFill="1" applyBorder="1" applyAlignment="1">
      <alignment horizontal="center" vertical="center" wrapText="1"/>
    </xf>
    <xf numFmtId="0" fontId="87" fillId="0" borderId="4" xfId="187" applyFont="1" applyFill="1" applyBorder="1" applyAlignment="1">
      <alignment horizontal="center" vertical="center" wrapText="1"/>
    </xf>
    <xf numFmtId="0" fontId="87" fillId="0" borderId="56" xfId="187" applyFont="1" applyFill="1" applyBorder="1" applyAlignment="1">
      <alignment horizontal="center" vertical="center" wrapText="1"/>
    </xf>
    <xf numFmtId="0" fontId="87" fillId="0" borderId="9" xfId="161" quotePrefix="1" applyFont="1" applyFill="1" applyBorder="1" applyAlignment="1">
      <alignment horizontal="center" vertical="center" wrapText="1"/>
    </xf>
    <xf numFmtId="0" fontId="87" fillId="0" borderId="9" xfId="161" applyFont="1" applyFill="1" applyBorder="1" applyAlignment="1">
      <alignment horizontal="center" vertical="center" wrapText="1"/>
    </xf>
    <xf numFmtId="0" fontId="92" fillId="0" borderId="15" xfId="0" quotePrefix="1" applyFont="1" applyFill="1" applyBorder="1" applyAlignment="1">
      <alignment horizontal="center" vertical="center"/>
    </xf>
    <xf numFmtId="0" fontId="92" fillId="0" borderId="14" xfId="0" quotePrefix="1" applyFont="1" applyFill="1" applyBorder="1" applyAlignment="1">
      <alignment horizontal="center" vertical="center"/>
    </xf>
    <xf numFmtId="0" fontId="150" fillId="0" borderId="15" xfId="151" applyFont="1" applyFill="1" applyBorder="1" applyAlignment="1">
      <alignment horizontal="center" vertical="center" wrapText="1"/>
    </xf>
    <xf numFmtId="0" fontId="150" fillId="0" borderId="14" xfId="151" applyFont="1" applyFill="1" applyBorder="1" applyAlignment="1">
      <alignment horizontal="center" vertical="center" wrapText="1"/>
    </xf>
    <xf numFmtId="0" fontId="93" fillId="0" borderId="10" xfId="140" applyFont="1" applyFill="1" applyBorder="1" applyAlignment="1">
      <alignment horizontal="center" vertical="center" wrapText="1"/>
    </xf>
    <xf numFmtId="0" fontId="93" fillId="0" borderId="11" xfId="140" applyFont="1" applyFill="1" applyBorder="1" applyAlignment="1">
      <alignment horizontal="center" vertical="center" wrapText="1"/>
    </xf>
    <xf numFmtId="0" fontId="93" fillId="0" borderId="12" xfId="140" applyFont="1" applyFill="1" applyBorder="1" applyAlignment="1">
      <alignment horizontal="center" vertical="center" wrapText="1"/>
    </xf>
    <xf numFmtId="0" fontId="97" fillId="0" borderId="3" xfId="140" applyFont="1" applyFill="1" applyBorder="1" applyAlignment="1">
      <alignment horizontal="center" vertical="center" wrapText="1"/>
    </xf>
    <xf numFmtId="0" fontId="97" fillId="0" borderId="4" xfId="140" applyFont="1" applyFill="1" applyBorder="1" applyAlignment="1">
      <alignment horizontal="center" vertical="center" wrapText="1"/>
    </xf>
    <xf numFmtId="0" fontId="97" fillId="0" borderId="56" xfId="140" applyFont="1" applyFill="1" applyBorder="1" applyAlignment="1">
      <alignment horizontal="center" vertical="center" wrapText="1"/>
    </xf>
    <xf numFmtId="0" fontId="97" fillId="0" borderId="1" xfId="140" applyFont="1" applyFill="1" applyBorder="1" applyAlignment="1">
      <alignment horizontal="center" vertical="center" wrapText="1"/>
    </xf>
    <xf numFmtId="0" fontId="97" fillId="0" borderId="0" xfId="140" applyFont="1" applyFill="1" applyBorder="1" applyAlignment="1">
      <alignment horizontal="center" vertical="center" wrapText="1"/>
    </xf>
    <xf numFmtId="0" fontId="97" fillId="0" borderId="35" xfId="140" applyFont="1" applyFill="1" applyBorder="1" applyAlignment="1">
      <alignment horizontal="center" vertical="center" wrapText="1"/>
    </xf>
    <xf numFmtId="0" fontId="98" fillId="0" borderId="64" xfId="140" applyFont="1" applyFill="1" applyBorder="1" applyAlignment="1">
      <alignment horizontal="left" vertical="center"/>
    </xf>
    <xf numFmtId="0" fontId="98" fillId="0" borderId="42" xfId="140" applyFont="1" applyFill="1" applyBorder="1" applyAlignment="1">
      <alignment horizontal="left" vertical="center"/>
    </xf>
    <xf numFmtId="0" fontId="98" fillId="0" borderId="43" xfId="140" applyFont="1" applyFill="1" applyBorder="1" applyAlignment="1">
      <alignment horizontal="left" vertical="center"/>
    </xf>
    <xf numFmtId="0" fontId="98" fillId="0" borderId="10" xfId="140" applyFont="1" applyFill="1" applyBorder="1" applyAlignment="1">
      <alignment horizontal="left" vertical="center"/>
    </xf>
    <xf numFmtId="0" fontId="98" fillId="0" borderId="11" xfId="140" applyFont="1" applyFill="1" applyBorder="1" applyAlignment="1">
      <alignment horizontal="left" vertical="center"/>
    </xf>
    <xf numFmtId="0" fontId="98" fillId="0" borderId="45" xfId="140" applyFont="1" applyFill="1" applyBorder="1" applyAlignment="1">
      <alignment horizontal="left" vertical="center"/>
    </xf>
    <xf numFmtId="0" fontId="98" fillId="0" borderId="38" xfId="140" applyFont="1" applyFill="1" applyBorder="1" applyAlignment="1">
      <alignment horizontal="left" vertical="center"/>
    </xf>
    <xf numFmtId="0" fontId="98" fillId="0" borderId="16" xfId="140" applyFont="1" applyFill="1" applyBorder="1" applyAlignment="1">
      <alignment horizontal="left" vertical="center"/>
    </xf>
    <xf numFmtId="0" fontId="98" fillId="0" borderId="73" xfId="140" applyFont="1" applyFill="1" applyBorder="1" applyAlignment="1">
      <alignment horizontal="left" vertical="center"/>
    </xf>
    <xf numFmtId="0" fontId="98" fillId="0" borderId="11" xfId="140" applyFont="1" applyFill="1" applyBorder="1" applyAlignment="1">
      <alignment horizontal="left" vertical="center" wrapText="1"/>
    </xf>
    <xf numFmtId="0" fontId="98" fillId="0" borderId="12" xfId="140" applyFont="1" applyFill="1" applyBorder="1" applyAlignment="1">
      <alignment horizontal="left" vertical="center" wrapText="1"/>
    </xf>
    <xf numFmtId="0" fontId="98" fillId="0" borderId="38" xfId="140" quotePrefix="1" applyFont="1" applyFill="1" applyBorder="1" applyAlignment="1">
      <alignment horizontal="left" vertical="center" wrapText="1"/>
    </xf>
    <xf numFmtId="0" fontId="98" fillId="0" borderId="16" xfId="140" quotePrefix="1" applyFont="1" applyFill="1" applyBorder="1" applyAlignment="1">
      <alignment horizontal="left" vertical="center" wrapText="1"/>
    </xf>
    <xf numFmtId="0" fontId="98" fillId="0" borderId="36" xfId="140" quotePrefix="1" applyFont="1" applyFill="1" applyBorder="1" applyAlignment="1">
      <alignment horizontal="left" vertical="center" wrapText="1"/>
    </xf>
    <xf numFmtId="0" fontId="98" fillId="0" borderId="39" xfId="140" quotePrefix="1" applyFont="1" applyFill="1" applyBorder="1" applyAlignment="1">
      <alignment horizontal="left" vertical="center" wrapText="1"/>
    </xf>
    <xf numFmtId="0" fontId="98" fillId="0" borderId="25" xfId="140" quotePrefix="1" applyFont="1" applyFill="1" applyBorder="1" applyAlignment="1">
      <alignment horizontal="left" vertical="center" wrapText="1"/>
    </xf>
    <xf numFmtId="0" fontId="98" fillId="0" borderId="37" xfId="140" quotePrefix="1" applyFont="1" applyFill="1" applyBorder="1" applyAlignment="1">
      <alignment horizontal="left" vertical="center" wrapText="1"/>
    </xf>
    <xf numFmtId="0" fontId="98" fillId="0" borderId="10" xfId="140" applyFont="1" applyFill="1" applyBorder="1" applyAlignment="1">
      <alignment horizontal="left" vertical="center" wrapText="1"/>
    </xf>
    <xf numFmtId="0" fontId="98" fillId="0" borderId="45" xfId="140" applyFont="1" applyFill="1" applyBorder="1" applyAlignment="1">
      <alignment horizontal="left" vertical="center" wrapText="1"/>
    </xf>
    <xf numFmtId="0" fontId="98" fillId="0" borderId="44" xfId="140" applyFont="1" applyFill="1" applyBorder="1" applyAlignment="1">
      <alignment horizontal="left" vertical="center"/>
    </xf>
    <xf numFmtId="0" fontId="102" fillId="0" borderId="11" xfId="140" applyFont="1" applyFill="1" applyBorder="1" applyAlignment="1">
      <alignment horizontal="left" vertical="center"/>
    </xf>
    <xf numFmtId="0" fontId="102" fillId="0" borderId="12" xfId="140" applyFont="1" applyFill="1" applyBorder="1" applyAlignment="1">
      <alignment horizontal="left" vertical="center"/>
    </xf>
    <xf numFmtId="0" fontId="98" fillId="0" borderId="59" xfId="140" applyFont="1" applyFill="1" applyBorder="1" applyAlignment="1">
      <alignment horizontal="left" vertical="center"/>
    </xf>
    <xf numFmtId="0" fontId="98" fillId="0" borderId="36" xfId="140" applyFont="1" applyFill="1" applyBorder="1" applyAlignment="1">
      <alignment horizontal="left" vertical="center"/>
    </xf>
    <xf numFmtId="0" fontId="98" fillId="0" borderId="38" xfId="140" quotePrefix="1" applyFont="1" applyFill="1" applyBorder="1" applyAlignment="1">
      <alignment horizontal="left" vertical="center"/>
    </xf>
    <xf numFmtId="0" fontId="102" fillId="0" borderId="16" xfId="140" applyFont="1" applyFill="1" applyBorder="1" applyAlignment="1">
      <alignment horizontal="left" vertical="center"/>
    </xf>
    <xf numFmtId="0" fontId="102" fillId="0" borderId="36" xfId="140" applyFont="1" applyFill="1" applyBorder="1" applyAlignment="1">
      <alignment horizontal="left" vertical="center"/>
    </xf>
    <xf numFmtId="0" fontId="98" fillId="0" borderId="39" xfId="140" applyFont="1" applyFill="1" applyBorder="1" applyAlignment="1">
      <alignment horizontal="left" vertical="center"/>
    </xf>
    <xf numFmtId="0" fontId="98" fillId="0" borderId="25" xfId="140" applyFont="1" applyFill="1" applyBorder="1" applyAlignment="1">
      <alignment horizontal="left" vertical="center"/>
    </xf>
    <xf numFmtId="0" fontId="98" fillId="0" borderId="37" xfId="140" applyFont="1" applyFill="1" applyBorder="1" applyAlignment="1">
      <alignment horizontal="left" vertical="center"/>
    </xf>
    <xf numFmtId="0" fontId="98" fillId="0" borderId="75" xfId="140" applyFont="1" applyFill="1" applyBorder="1" applyAlignment="1">
      <alignment horizontal="left" vertical="center"/>
    </xf>
    <xf numFmtId="0" fontId="102" fillId="0" borderId="25" xfId="140" applyFont="1" applyFill="1" applyBorder="1" applyAlignment="1">
      <alignment horizontal="left" vertical="center"/>
    </xf>
    <xf numFmtId="0" fontId="102" fillId="0" borderId="37" xfId="140" applyFont="1" applyFill="1" applyBorder="1" applyAlignment="1">
      <alignment horizontal="left" vertical="center"/>
    </xf>
    <xf numFmtId="0" fontId="98" fillId="0" borderId="12" xfId="140" applyFont="1" applyFill="1" applyBorder="1" applyAlignment="1">
      <alignment horizontal="left" vertical="center"/>
    </xf>
    <xf numFmtId="0" fontId="98" fillId="0" borderId="10" xfId="140" quotePrefix="1" applyFont="1" applyFill="1" applyBorder="1" applyAlignment="1">
      <alignment horizontal="left" vertical="center" wrapText="1"/>
    </xf>
    <xf numFmtId="0" fontId="98" fillId="0" borderId="11" xfId="140" quotePrefix="1" applyFont="1" applyFill="1" applyBorder="1" applyAlignment="1">
      <alignment horizontal="left" vertical="center" wrapText="1"/>
    </xf>
    <xf numFmtId="0" fontId="98" fillId="0" borderId="12" xfId="140" quotePrefix="1" applyFont="1" applyFill="1" applyBorder="1" applyAlignment="1">
      <alignment horizontal="left" vertical="center" wrapText="1"/>
    </xf>
    <xf numFmtId="0" fontId="98" fillId="0" borderId="44" xfId="140" applyFont="1" applyFill="1" applyBorder="1" applyAlignment="1">
      <alignment horizontal="left" vertical="center" wrapText="1"/>
    </xf>
    <xf numFmtId="0" fontId="98" fillId="0" borderId="16" xfId="140" applyFont="1" applyFill="1" applyBorder="1" applyAlignment="1">
      <alignment vertical="center" wrapText="1"/>
    </xf>
    <xf numFmtId="0" fontId="98" fillId="0" borderId="73" xfId="140" applyFont="1" applyFill="1" applyBorder="1" applyAlignment="1">
      <alignment vertical="center" wrapText="1"/>
    </xf>
    <xf numFmtId="0" fontId="102" fillId="0" borderId="10" xfId="193" applyFont="1" applyFill="1" applyBorder="1" applyAlignment="1">
      <alignment horizontal="center" vertical="center" wrapText="1"/>
    </xf>
    <xf numFmtId="0" fontId="102" fillId="0" borderId="11" xfId="193" applyFont="1" applyFill="1" applyBorder="1" applyAlignment="1">
      <alignment horizontal="center" vertical="center" wrapText="1"/>
    </xf>
    <xf numFmtId="0" fontId="102" fillId="0" borderId="12" xfId="193" applyFont="1" applyFill="1" applyBorder="1" applyAlignment="1">
      <alignment horizontal="center" vertical="center" wrapText="1"/>
    </xf>
    <xf numFmtId="0" fontId="102" fillId="0" borderId="37" xfId="193" applyFont="1" applyFill="1" applyBorder="1" applyAlignment="1">
      <alignment horizontal="center" vertical="center" wrapText="1"/>
    </xf>
    <xf numFmtId="0" fontId="102" fillId="0" borderId="61" xfId="151" applyFont="1" applyFill="1" applyBorder="1" applyAlignment="1">
      <alignment horizontal="center" vertical="center" wrapText="1"/>
    </xf>
    <xf numFmtId="0" fontId="102" fillId="0" borderId="47" xfId="151" applyFont="1" applyFill="1" applyBorder="1" applyAlignment="1">
      <alignment horizontal="center" vertical="center" wrapText="1"/>
    </xf>
    <xf numFmtId="0" fontId="102" fillId="0" borderId="60" xfId="151" applyFont="1" applyFill="1" applyBorder="1" applyAlignment="1">
      <alignment horizontal="center" vertical="center" wrapText="1"/>
    </xf>
    <xf numFmtId="0" fontId="98" fillId="0" borderId="10" xfId="140" applyFont="1" applyFill="1" applyBorder="1" applyAlignment="1">
      <alignment vertical="center"/>
    </xf>
    <xf numFmtId="0" fontId="98" fillId="0" borderId="11" xfId="140" applyFont="1" applyFill="1" applyBorder="1" applyAlignment="1">
      <alignment vertical="center"/>
    </xf>
    <xf numFmtId="0" fontId="98" fillId="0" borderId="45" xfId="140" applyFont="1" applyFill="1" applyBorder="1" applyAlignment="1">
      <alignment vertical="center"/>
    </xf>
    <xf numFmtId="0" fontId="87" fillId="0" borderId="59" xfId="140" applyFont="1" applyFill="1" applyBorder="1" applyAlignment="1">
      <alignment horizontal="center" vertical="center"/>
    </xf>
    <xf numFmtId="0" fontId="87" fillId="0" borderId="16" xfId="140" applyFont="1" applyFill="1" applyBorder="1" applyAlignment="1">
      <alignment horizontal="center" vertical="center"/>
    </xf>
    <xf numFmtId="0" fontId="87" fillId="0" borderId="73" xfId="140" applyFont="1" applyFill="1" applyBorder="1" applyAlignment="1">
      <alignment horizontal="center" vertical="center"/>
    </xf>
    <xf numFmtId="0" fontId="87" fillId="0" borderId="1" xfId="140" applyFont="1" applyFill="1" applyBorder="1" applyAlignment="1">
      <alignment horizontal="center" vertical="center"/>
    </xf>
    <xf numFmtId="0" fontId="87" fillId="0" borderId="0" xfId="140" applyFont="1" applyFill="1" applyBorder="1" applyAlignment="1">
      <alignment horizontal="center" vertical="center"/>
    </xf>
    <xf numFmtId="0" fontId="87" fillId="0" borderId="2" xfId="140" applyFont="1" applyFill="1" applyBorder="1" applyAlignment="1">
      <alignment horizontal="center" vertical="center"/>
    </xf>
    <xf numFmtId="0" fontId="98" fillId="0" borderId="10" xfId="140" applyFont="1" applyFill="1" applyBorder="1" applyAlignment="1">
      <alignment horizontal="center" vertical="center"/>
    </xf>
    <xf numFmtId="0" fontId="98" fillId="0" borderId="11" xfId="140" applyFont="1" applyFill="1" applyBorder="1" applyAlignment="1">
      <alignment horizontal="center" vertical="center"/>
    </xf>
    <xf numFmtId="0" fontId="98" fillId="0" borderId="12" xfId="140" applyFont="1" applyFill="1" applyBorder="1" applyAlignment="1">
      <alignment horizontal="center" vertical="center"/>
    </xf>
    <xf numFmtId="0" fontId="98" fillId="0" borderId="15" xfId="140" applyFont="1" applyFill="1" applyBorder="1" applyAlignment="1">
      <alignment horizontal="left" vertical="center" wrapText="1"/>
    </xf>
    <xf numFmtId="0" fontId="98" fillId="0" borderId="14" xfId="140" applyFont="1" applyFill="1" applyBorder="1" applyAlignment="1">
      <alignment horizontal="left" vertical="center" wrapText="1"/>
    </xf>
    <xf numFmtId="0" fontId="98" fillId="0" borderId="13" xfId="140" applyFont="1" applyFill="1" applyBorder="1" applyAlignment="1">
      <alignment horizontal="left" vertical="center" wrapText="1"/>
    </xf>
    <xf numFmtId="0" fontId="98" fillId="0" borderId="10" xfId="140" applyFont="1" applyFill="1" applyBorder="1" applyAlignment="1">
      <alignment horizontal="center" vertical="center" wrapText="1"/>
    </xf>
    <xf numFmtId="0" fontId="98" fillId="0" borderId="11" xfId="140" applyFont="1" applyFill="1" applyBorder="1" applyAlignment="1">
      <alignment horizontal="center" vertical="center" wrapText="1"/>
    </xf>
    <xf numFmtId="0" fontId="98" fillId="0" borderId="12" xfId="140" applyFont="1" applyFill="1" applyBorder="1" applyAlignment="1">
      <alignment horizontal="center" vertical="center" wrapText="1"/>
    </xf>
    <xf numFmtId="0" fontId="98" fillId="0" borderId="15" xfId="140" applyFont="1" applyFill="1" applyBorder="1" applyAlignment="1">
      <alignment horizontal="center" vertical="center" wrapText="1"/>
    </xf>
    <xf numFmtId="0" fontId="98" fillId="0" borderId="14" xfId="140" applyFont="1" applyFill="1" applyBorder="1" applyAlignment="1">
      <alignment horizontal="center" vertical="center" wrapText="1"/>
    </xf>
    <xf numFmtId="0" fontId="98" fillId="0" borderId="13" xfId="140" applyFont="1" applyFill="1" applyBorder="1" applyAlignment="1">
      <alignment horizontal="center" vertical="center" wrapText="1"/>
    </xf>
    <xf numFmtId="0" fontId="98" fillId="0" borderId="62" xfId="140" applyFont="1" applyFill="1" applyBorder="1" applyAlignment="1">
      <alignment vertical="center" wrapText="1"/>
    </xf>
    <xf numFmtId="0" fontId="98" fillId="0" borderId="77" xfId="140" applyFont="1" applyFill="1" applyBorder="1" applyAlignment="1">
      <alignment vertical="center" wrapText="1"/>
    </xf>
    <xf numFmtId="0" fontId="98" fillId="0" borderId="57" xfId="140" applyFont="1" applyFill="1" applyBorder="1" applyAlignment="1">
      <alignment vertical="center" wrapText="1"/>
    </xf>
    <xf numFmtId="0" fontId="98" fillId="0" borderId="15" xfId="140" applyFont="1" applyFill="1" applyBorder="1" applyAlignment="1">
      <alignment horizontal="center" vertical="center"/>
    </xf>
    <xf numFmtId="0" fontId="98" fillId="0" borderId="13" xfId="140" applyFont="1" applyFill="1" applyBorder="1" applyAlignment="1">
      <alignment horizontal="center" vertical="center"/>
    </xf>
    <xf numFmtId="0" fontId="98" fillId="0" borderId="15" xfId="140" applyFont="1" applyFill="1" applyBorder="1" applyAlignment="1">
      <alignment horizontal="left" vertical="center"/>
    </xf>
    <xf numFmtId="0" fontId="98" fillId="0" borderId="13" xfId="140" applyFont="1" applyFill="1" applyBorder="1" applyAlignment="1">
      <alignment horizontal="left" vertical="center"/>
    </xf>
    <xf numFmtId="0" fontId="107" fillId="0" borderId="15" xfId="140" applyFont="1" applyFill="1" applyBorder="1" applyAlignment="1">
      <alignment horizontal="left" vertical="center" wrapText="1"/>
    </xf>
    <xf numFmtId="0" fontId="107" fillId="0" borderId="14" xfId="140" applyFont="1" applyFill="1" applyBorder="1" applyAlignment="1">
      <alignment horizontal="left" vertical="center" wrapText="1"/>
    </xf>
    <xf numFmtId="0" fontId="107" fillId="0" borderId="13" xfId="140" applyFont="1" applyFill="1" applyBorder="1" applyAlignment="1">
      <alignment horizontal="left" vertical="center" wrapText="1"/>
    </xf>
    <xf numFmtId="0" fontId="107" fillId="0" borderId="14" xfId="140" applyFont="1" applyFill="1" applyBorder="1" applyAlignment="1">
      <alignment horizontal="center" vertical="center"/>
    </xf>
    <xf numFmtId="0" fontId="107" fillId="0" borderId="35" xfId="140" applyFont="1" applyFill="1" applyBorder="1" applyAlignment="1">
      <alignment vertical="center" wrapText="1"/>
    </xf>
    <xf numFmtId="0" fontId="107" fillId="0" borderId="18" xfId="140" applyFont="1" applyFill="1" applyBorder="1" applyAlignment="1">
      <alignment horizontal="left" vertical="center" wrapText="1"/>
    </xf>
    <xf numFmtId="0" fontId="107" fillId="0" borderId="0" xfId="140" applyFont="1" applyBorder="1" applyAlignment="1">
      <alignment horizontal="center" vertical="center"/>
    </xf>
    <xf numFmtId="0" fontId="107" fillId="0" borderId="14" xfId="140" applyFont="1" applyBorder="1" applyAlignment="1">
      <alignment horizontal="center" vertical="center"/>
    </xf>
    <xf numFmtId="0" fontId="107" fillId="0" borderId="14" xfId="140" applyFont="1" applyBorder="1" applyAlignment="1">
      <alignment horizontal="center" vertical="center" wrapText="1"/>
    </xf>
    <xf numFmtId="0" fontId="102" fillId="0" borderId="15" xfId="150" applyFont="1" applyFill="1" applyBorder="1" applyAlignment="1">
      <alignment vertical="center" wrapText="1"/>
    </xf>
    <xf numFmtId="0" fontId="102" fillId="0" borderId="13" xfId="150" applyFont="1" applyFill="1" applyBorder="1" applyAlignment="1">
      <alignment vertical="center" wrapText="1"/>
    </xf>
    <xf numFmtId="0" fontId="102" fillId="18" borderId="15" xfId="150" applyFont="1" applyFill="1" applyBorder="1" applyAlignment="1">
      <alignment horizontal="center" vertical="center" wrapText="1"/>
    </xf>
    <xf numFmtId="0" fontId="102" fillId="18" borderId="13" xfId="150" applyFont="1" applyFill="1" applyBorder="1" applyAlignment="1">
      <alignment horizontal="center" vertical="center" wrapText="1"/>
    </xf>
    <xf numFmtId="0" fontId="102" fillId="0" borderId="15" xfId="150" applyFont="1" applyFill="1" applyBorder="1" applyAlignment="1">
      <alignment horizontal="center" vertical="center" wrapText="1"/>
    </xf>
    <xf numFmtId="0" fontId="102" fillId="0" borderId="13" xfId="150" applyFont="1" applyFill="1" applyBorder="1" applyAlignment="1">
      <alignment horizontal="center" vertical="center" wrapText="1"/>
    </xf>
    <xf numFmtId="0" fontId="102" fillId="0" borderId="62" xfId="150" applyFont="1" applyFill="1" applyBorder="1" applyAlignment="1">
      <alignment horizontal="left" vertical="center" wrapText="1"/>
    </xf>
    <xf numFmtId="0" fontId="102" fillId="0" borderId="57" xfId="150" applyFont="1" applyFill="1" applyBorder="1" applyAlignment="1">
      <alignment horizontal="left" vertical="center" wrapText="1"/>
    </xf>
    <xf numFmtId="0" fontId="98" fillId="0" borderId="14" xfId="140" applyFont="1" applyFill="1" applyBorder="1" applyAlignment="1">
      <alignment horizontal="center" vertical="center"/>
    </xf>
    <xf numFmtId="0" fontId="102" fillId="0" borderId="15" xfId="140" applyFont="1" applyFill="1" applyBorder="1" applyAlignment="1">
      <alignment horizontal="center" vertical="center" wrapText="1"/>
    </xf>
    <xf numFmtId="0" fontId="102" fillId="0" borderId="14" xfId="140" applyFont="1" applyFill="1" applyBorder="1" applyAlignment="1">
      <alignment horizontal="center" vertical="center" wrapText="1"/>
    </xf>
    <xf numFmtId="0" fontId="102" fillId="0" borderId="13" xfId="140" applyFont="1" applyFill="1" applyBorder="1" applyAlignment="1">
      <alignment horizontal="center" vertical="center" wrapText="1"/>
    </xf>
    <xf numFmtId="0" fontId="102" fillId="0" borderId="15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center" vertical="center"/>
    </xf>
    <xf numFmtId="0" fontId="102" fillId="0" borderId="15" xfId="140" applyFont="1" applyFill="1" applyBorder="1" applyAlignment="1">
      <alignment horizontal="left" vertical="center" wrapText="1"/>
    </xf>
    <xf numFmtId="0" fontId="102" fillId="0" borderId="14" xfId="140" applyFont="1" applyFill="1" applyBorder="1" applyAlignment="1">
      <alignment horizontal="left" vertical="center" wrapText="1"/>
    </xf>
    <xf numFmtId="0" fontId="98" fillId="0" borderId="9" xfId="140" applyFont="1" applyFill="1" applyBorder="1" applyAlignment="1">
      <alignment horizontal="center" vertical="center"/>
    </xf>
    <xf numFmtId="0" fontId="98" fillId="0" borderId="9" xfId="140" quotePrefix="1" applyFont="1" applyFill="1" applyBorder="1" applyAlignment="1">
      <alignment horizontal="center" vertical="center"/>
    </xf>
    <xf numFmtId="0" fontId="102" fillId="0" borderId="9" xfId="140" applyFont="1" applyFill="1" applyBorder="1" applyAlignment="1">
      <alignment horizontal="center" vertical="center" wrapText="1"/>
    </xf>
    <xf numFmtId="0" fontId="107" fillId="0" borderId="9" xfId="140" applyFont="1" applyFill="1" applyBorder="1" applyAlignment="1">
      <alignment horizontal="center" vertical="center" wrapText="1"/>
    </xf>
    <xf numFmtId="0" fontId="107" fillId="0" borderId="15" xfId="140" applyFont="1" applyBorder="1" applyAlignment="1">
      <alignment horizontal="center" vertical="center" wrapText="1"/>
    </xf>
    <xf numFmtId="0" fontId="148" fillId="0" borderId="15" xfId="140" applyFont="1" applyFill="1" applyBorder="1" applyAlignment="1">
      <alignment horizontal="left" vertical="center" wrapText="1"/>
    </xf>
    <xf numFmtId="0" fontId="148" fillId="0" borderId="14" xfId="140" applyFont="1" applyFill="1" applyBorder="1" applyAlignment="1">
      <alignment horizontal="left" vertical="center" wrapText="1"/>
    </xf>
    <xf numFmtId="0" fontId="148" fillId="0" borderId="13" xfId="140" applyFont="1" applyFill="1" applyBorder="1" applyAlignment="1">
      <alignment horizontal="left" vertical="center" wrapText="1"/>
    </xf>
    <xf numFmtId="0" fontId="107" fillId="0" borderId="15" xfId="140" applyFont="1" applyBorder="1" applyAlignment="1">
      <alignment horizontal="left" vertical="center" wrapText="1"/>
    </xf>
    <xf numFmtId="0" fontId="107" fillId="0" borderId="14" xfId="140" applyFont="1" applyBorder="1" applyAlignment="1">
      <alignment horizontal="left" vertical="center" wrapText="1"/>
    </xf>
    <xf numFmtId="0" fontId="107" fillId="0" borderId="13" xfId="140" applyFont="1" applyBorder="1" applyAlignment="1">
      <alignment horizontal="left" vertical="center" wrapText="1"/>
    </xf>
    <xf numFmtId="0" fontId="98" fillId="0" borderId="76" xfId="181" applyFont="1" applyFill="1" applyBorder="1" applyAlignment="1">
      <alignment horizontal="center" vertical="center"/>
    </xf>
    <xf numFmtId="0" fontId="98" fillId="0" borderId="68" xfId="181" applyFont="1" applyFill="1" applyBorder="1" applyAlignment="1">
      <alignment horizontal="center" vertical="center"/>
    </xf>
    <xf numFmtId="0" fontId="102" fillId="0" borderId="15" xfId="181" applyFont="1" applyFill="1" applyBorder="1" applyAlignment="1">
      <alignment horizontal="center" vertical="center" wrapText="1"/>
    </xf>
    <xf numFmtId="0" fontId="102" fillId="0" borderId="13" xfId="181" applyFont="1" applyFill="1" applyBorder="1" applyAlignment="1">
      <alignment horizontal="center" vertical="center" wrapText="1"/>
    </xf>
    <xf numFmtId="0" fontId="102" fillId="35" borderId="15" xfId="150" applyFont="1" applyFill="1" applyBorder="1" applyAlignment="1">
      <alignment horizontal="center" vertical="center" wrapText="1"/>
    </xf>
    <xf numFmtId="0" fontId="102" fillId="35" borderId="13" xfId="150" applyFont="1" applyFill="1" applyBorder="1" applyAlignment="1">
      <alignment horizontal="center" vertical="center" wrapText="1"/>
    </xf>
    <xf numFmtId="0" fontId="102" fillId="35" borderId="15" xfId="150" applyFont="1" applyFill="1" applyBorder="1" applyAlignment="1">
      <alignment horizontal="center" vertical="center"/>
    </xf>
    <xf numFmtId="0" fontId="102" fillId="35" borderId="13" xfId="150" applyFont="1" applyFill="1" applyBorder="1" applyAlignment="1">
      <alignment horizontal="center" vertical="center"/>
    </xf>
    <xf numFmtId="0" fontId="102" fillId="0" borderId="15" xfId="150" applyFont="1" applyFill="1" applyBorder="1" applyAlignment="1">
      <alignment horizontal="center" vertical="center"/>
    </xf>
    <xf numFmtId="0" fontId="102" fillId="0" borderId="13" xfId="150" applyFont="1" applyFill="1" applyBorder="1" applyAlignment="1">
      <alignment horizontal="center" vertical="center"/>
    </xf>
    <xf numFmtId="0" fontId="107" fillId="0" borderId="13" xfId="140" applyFont="1" applyBorder="1" applyAlignment="1">
      <alignment horizontal="center" vertical="center" wrapText="1"/>
    </xf>
    <xf numFmtId="0" fontId="98" fillId="0" borderId="58" xfId="140" applyFont="1" applyFill="1" applyBorder="1" applyAlignment="1">
      <alignment horizontal="center" vertical="center"/>
    </xf>
    <xf numFmtId="0" fontId="107" fillId="0" borderId="15" xfId="140" applyFont="1" applyBorder="1" applyAlignment="1">
      <alignment horizontal="center" vertical="center"/>
    </xf>
    <xf numFmtId="0" fontId="107" fillId="0" borderId="13" xfId="140" applyFont="1" applyBorder="1" applyAlignment="1">
      <alignment horizontal="center" vertical="center"/>
    </xf>
    <xf numFmtId="0" fontId="107" fillId="0" borderId="15" xfId="140" applyFont="1" applyBorder="1" applyAlignment="1">
      <alignment vertical="center" wrapText="1"/>
    </xf>
    <xf numFmtId="0" fontId="107" fillId="0" borderId="14" xfId="140" applyFont="1" applyBorder="1" applyAlignment="1">
      <alignment vertical="center" wrapText="1"/>
    </xf>
    <xf numFmtId="0" fontId="107" fillId="0" borderId="13" xfId="140" applyFont="1" applyBorder="1" applyAlignment="1">
      <alignment vertical="center" wrapText="1"/>
    </xf>
    <xf numFmtId="0" fontId="107" fillId="0" borderId="9" xfId="140" applyFont="1" applyBorder="1" applyAlignment="1">
      <alignment horizontal="center" vertical="center" wrapText="1"/>
    </xf>
    <xf numFmtId="0" fontId="107" fillId="0" borderId="62" xfId="140" applyFont="1" applyBorder="1" applyAlignment="1">
      <alignment horizontal="left" vertical="center" wrapText="1"/>
    </xf>
    <xf numFmtId="0" fontId="107" fillId="0" borderId="77" xfId="140" applyFont="1" applyBorder="1" applyAlignment="1">
      <alignment horizontal="left" vertical="center" wrapText="1"/>
    </xf>
    <xf numFmtId="0" fontId="107" fillId="0" borderId="57" xfId="140" applyFont="1" applyBorder="1" applyAlignment="1">
      <alignment horizontal="left" vertical="center" wrapText="1"/>
    </xf>
    <xf numFmtId="0" fontId="4" fillId="0" borderId="9" xfId="140" applyFont="1" applyBorder="1" applyAlignment="1">
      <alignment horizontal="center" vertical="center"/>
    </xf>
    <xf numFmtId="0" fontId="4" fillId="0" borderId="10" xfId="140" applyFont="1" applyFill="1" applyBorder="1" applyAlignment="1">
      <alignment horizontal="center" vertical="center"/>
    </xf>
    <xf numFmtId="0" fontId="4" fillId="0" borderId="12" xfId="140" applyFont="1" applyFill="1" applyBorder="1" applyAlignment="1">
      <alignment horizontal="center" vertical="center"/>
    </xf>
    <xf numFmtId="0" fontId="4" fillId="0" borderId="10" xfId="140" applyFont="1" applyFill="1" applyBorder="1" applyAlignment="1">
      <alignment horizontal="center" vertical="center" wrapText="1"/>
    </xf>
    <xf numFmtId="0" fontId="4" fillId="0" borderId="12" xfId="140" applyFont="1" applyFill="1" applyBorder="1" applyAlignment="1">
      <alignment horizontal="center" vertical="center" wrapText="1"/>
    </xf>
    <xf numFmtId="0" fontId="4" fillId="0" borderId="9" xfId="140" applyFont="1" applyFill="1" applyBorder="1" applyAlignment="1">
      <alignment horizontal="center" vertical="center" wrapText="1"/>
    </xf>
    <xf numFmtId="0" fontId="4" fillId="0" borderId="41" xfId="140" applyFont="1" applyBorder="1" applyAlignment="1">
      <alignment horizontal="left" vertical="center"/>
    </xf>
    <xf numFmtId="0" fontId="4" fillId="0" borderId="42" xfId="140" applyFont="1" applyBorder="1" applyAlignment="1">
      <alignment horizontal="left" vertical="center"/>
    </xf>
    <xf numFmtId="0" fontId="4" fillId="0" borderId="43" xfId="140" applyFont="1" applyBorder="1" applyAlignment="1">
      <alignment horizontal="left" vertical="center"/>
    </xf>
    <xf numFmtId="0" fontId="15" fillId="0" borderId="3" xfId="140" applyFont="1" applyFill="1" applyBorder="1" applyAlignment="1">
      <alignment horizontal="center" vertical="center" wrapText="1"/>
    </xf>
    <xf numFmtId="0" fontId="15" fillId="0" borderId="4" xfId="140" applyFont="1" applyFill="1" applyBorder="1" applyAlignment="1">
      <alignment horizontal="center" vertical="center" wrapText="1"/>
    </xf>
    <xf numFmtId="0" fontId="15" fillId="0" borderId="5" xfId="140" applyFont="1" applyFill="1" applyBorder="1" applyAlignment="1">
      <alignment horizontal="center" vertical="center" wrapText="1"/>
    </xf>
    <xf numFmtId="0" fontId="15" fillId="0" borderId="1" xfId="140" applyFont="1" applyFill="1" applyBorder="1" applyAlignment="1">
      <alignment horizontal="center" vertical="center" wrapText="1"/>
    </xf>
    <xf numFmtId="0" fontId="15" fillId="0" borderId="0" xfId="140" applyFont="1" applyFill="1" applyBorder="1" applyAlignment="1">
      <alignment horizontal="center" vertical="center" wrapText="1"/>
    </xf>
    <xf numFmtId="0" fontId="15" fillId="0" borderId="2" xfId="140" applyFont="1" applyFill="1" applyBorder="1" applyAlignment="1">
      <alignment horizontal="center" vertical="center" wrapText="1"/>
    </xf>
    <xf numFmtId="0" fontId="15" fillId="0" borderId="6" xfId="140" applyFont="1" applyFill="1" applyBorder="1" applyAlignment="1">
      <alignment horizontal="center" vertical="center" wrapText="1"/>
    </xf>
    <xf numFmtId="0" fontId="15" fillId="0" borderId="7" xfId="140" applyFont="1" applyFill="1" applyBorder="1" applyAlignment="1">
      <alignment horizontal="center" vertical="center" wrapText="1"/>
    </xf>
    <xf numFmtId="0" fontId="15" fillId="0" borderId="8" xfId="140" applyFont="1" applyFill="1" applyBorder="1" applyAlignment="1">
      <alignment horizontal="center" vertical="center" wrapText="1"/>
    </xf>
    <xf numFmtId="2" fontId="15" fillId="0" borderId="3" xfId="140" applyNumberFormat="1" applyFont="1" applyFill="1" applyBorder="1" applyAlignment="1">
      <alignment horizontal="center" vertical="center"/>
    </xf>
    <xf numFmtId="2" fontId="15" fillId="0" borderId="4" xfId="140" applyNumberFormat="1" applyFont="1" applyFill="1" applyBorder="1" applyAlignment="1">
      <alignment horizontal="center" vertical="center"/>
    </xf>
    <xf numFmtId="2" fontId="15" fillId="0" borderId="5" xfId="140" applyNumberFormat="1" applyFont="1" applyFill="1" applyBorder="1" applyAlignment="1">
      <alignment horizontal="center" vertical="center"/>
    </xf>
    <xf numFmtId="2" fontId="15" fillId="0" borderId="1" xfId="140" applyNumberFormat="1" applyFont="1" applyFill="1" applyBorder="1" applyAlignment="1">
      <alignment horizontal="center" vertical="center"/>
    </xf>
    <xf numFmtId="2" fontId="15" fillId="0" borderId="0" xfId="140" applyNumberFormat="1" applyFont="1" applyFill="1" applyBorder="1" applyAlignment="1">
      <alignment horizontal="center" vertical="center"/>
    </xf>
    <xf numFmtId="2" fontId="15" fillId="0" borderId="2" xfId="140" applyNumberFormat="1" applyFont="1" applyFill="1" applyBorder="1" applyAlignment="1">
      <alignment horizontal="center" vertical="center"/>
    </xf>
    <xf numFmtId="2" fontId="15" fillId="0" borderId="6" xfId="140" applyNumberFormat="1" applyFont="1" applyFill="1" applyBorder="1" applyAlignment="1">
      <alignment horizontal="center" vertical="center"/>
    </xf>
    <xf numFmtId="2" fontId="15" fillId="0" borderId="7" xfId="140" applyNumberFormat="1" applyFont="1" applyFill="1" applyBorder="1" applyAlignment="1">
      <alignment horizontal="center" vertical="center"/>
    </xf>
    <xf numFmtId="2" fontId="15" fillId="0" borderId="8" xfId="140" applyNumberFormat="1" applyFont="1" applyFill="1" applyBorder="1" applyAlignment="1">
      <alignment horizontal="center" vertical="center"/>
    </xf>
    <xf numFmtId="2" fontId="15" fillId="0" borderId="41" xfId="140" applyNumberFormat="1" applyFont="1" applyFill="1" applyBorder="1" applyAlignment="1">
      <alignment horizontal="left" vertical="center" wrapText="1"/>
    </xf>
    <xf numFmtId="2" fontId="15" fillId="0" borderId="42" xfId="140" applyNumberFormat="1" applyFont="1" applyFill="1" applyBorder="1" applyAlignment="1">
      <alignment horizontal="left" vertical="center" wrapText="1"/>
    </xf>
    <xf numFmtId="2" fontId="15" fillId="0" borderId="43" xfId="140" applyNumberFormat="1" applyFont="1" applyFill="1" applyBorder="1" applyAlignment="1">
      <alignment horizontal="left" vertical="center" wrapText="1"/>
    </xf>
    <xf numFmtId="2" fontId="15" fillId="0" borderId="44" xfId="140" applyNumberFormat="1" applyFont="1" applyFill="1" applyBorder="1" applyAlignment="1">
      <alignment horizontal="left" vertical="center"/>
    </xf>
    <xf numFmtId="2" fontId="15" fillId="0" borderId="11" xfId="140" applyNumberFormat="1" applyFont="1" applyFill="1" applyBorder="1" applyAlignment="1">
      <alignment horizontal="left" vertical="center"/>
    </xf>
    <xf numFmtId="2" fontId="15" fillId="0" borderId="45" xfId="140" applyNumberFormat="1" applyFont="1" applyFill="1" applyBorder="1" applyAlignment="1">
      <alignment horizontal="left" vertical="center"/>
    </xf>
    <xf numFmtId="2" fontId="15" fillId="0" borderId="46" xfId="140" applyNumberFormat="1" applyFont="1" applyFill="1" applyBorder="1" applyAlignment="1">
      <alignment horizontal="left" vertical="center"/>
    </xf>
    <xf numFmtId="2" fontId="15" fillId="0" borderId="47" xfId="140" applyNumberFormat="1" applyFont="1" applyFill="1" applyBorder="1" applyAlignment="1">
      <alignment horizontal="left" vertical="center"/>
    </xf>
    <xf numFmtId="2" fontId="15" fillId="0" borderId="48" xfId="140" applyNumberFormat="1" applyFont="1" applyFill="1" applyBorder="1" applyAlignment="1">
      <alignment horizontal="left" vertical="center"/>
    </xf>
    <xf numFmtId="0" fontId="4" fillId="0" borderId="44" xfId="140" applyFont="1" applyBorder="1" applyAlignment="1">
      <alignment horizontal="left" vertical="center"/>
    </xf>
    <xf numFmtId="0" fontId="4" fillId="0" borderId="11" xfId="140" applyFont="1" applyBorder="1" applyAlignment="1">
      <alignment horizontal="left" vertical="center"/>
    </xf>
    <xf numFmtId="0" fontId="4" fillId="0" borderId="45" xfId="140" applyFont="1" applyBorder="1" applyAlignment="1">
      <alignment horizontal="left" vertical="center"/>
    </xf>
    <xf numFmtId="0" fontId="15" fillId="0" borderId="1" xfId="140" applyFont="1" applyBorder="1" applyAlignment="1">
      <alignment horizontal="left" vertical="top"/>
    </xf>
    <xf numFmtId="0" fontId="4" fillId="0" borderId="0" xfId="140" applyFont="1" applyBorder="1" applyAlignment="1">
      <alignment horizontal="left" vertical="top"/>
    </xf>
    <xf numFmtId="0" fontId="4" fillId="0" borderId="2" xfId="140" applyFont="1" applyBorder="1" applyAlignment="1">
      <alignment horizontal="left" vertical="top"/>
    </xf>
    <xf numFmtId="0" fontId="4" fillId="0" borderId="1" xfId="140" applyFont="1" applyBorder="1" applyAlignment="1">
      <alignment horizontal="left" vertical="top"/>
    </xf>
    <xf numFmtId="0" fontId="11" fillId="0" borderId="50" xfId="140" applyFont="1" applyBorder="1" applyAlignment="1">
      <alignment horizontal="center" vertical="center"/>
    </xf>
    <xf numFmtId="0" fontId="11" fillId="0" borderId="50" xfId="140" applyFont="1" applyBorder="1" applyAlignment="1">
      <alignment horizontal="center" vertical="center" wrapText="1"/>
    </xf>
    <xf numFmtId="0" fontId="15" fillId="16" borderId="52" xfId="140" applyFont="1" applyFill="1" applyBorder="1" applyAlignment="1">
      <alignment horizontal="center" vertical="center"/>
    </xf>
    <xf numFmtId="0" fontId="15" fillId="16" borderId="20" xfId="140" applyFont="1" applyFill="1" applyBorder="1" applyAlignment="1">
      <alignment horizontal="center" vertical="center"/>
    </xf>
    <xf numFmtId="0" fontId="15" fillId="16" borderId="53" xfId="140" applyFont="1" applyFill="1" applyBorder="1" applyAlignment="1">
      <alignment horizontal="center" vertical="center"/>
    </xf>
    <xf numFmtId="0" fontId="4" fillId="0" borderId="39" xfId="140" applyFont="1" applyFill="1" applyBorder="1" applyAlignment="1">
      <alignment horizontal="center" vertical="center"/>
    </xf>
    <xf numFmtId="0" fontId="4" fillId="0" borderId="37" xfId="140" applyFont="1" applyFill="1" applyBorder="1" applyAlignment="1">
      <alignment horizontal="center" vertical="center"/>
    </xf>
    <xf numFmtId="0" fontId="4" fillId="0" borderId="39" xfId="140" applyFont="1" applyFill="1" applyBorder="1" applyAlignment="1">
      <alignment horizontal="center" vertical="center" wrapText="1"/>
    </xf>
    <xf numFmtId="0" fontId="4" fillId="0" borderId="37" xfId="140" applyFont="1" applyFill="1" applyBorder="1" applyAlignment="1">
      <alignment horizontal="center" vertical="center" wrapText="1"/>
    </xf>
    <xf numFmtId="0" fontId="4" fillId="0" borderId="18" xfId="140" applyFont="1" applyFill="1" applyBorder="1" applyAlignment="1">
      <alignment horizontal="center" vertical="center" wrapText="1"/>
    </xf>
    <xf numFmtId="0" fontId="4" fillId="0" borderId="35" xfId="140" applyFont="1" applyFill="1" applyBorder="1" applyAlignment="1">
      <alignment horizontal="center" vertical="center" wrapText="1"/>
    </xf>
    <xf numFmtId="0" fontId="4" fillId="0" borderId="14" xfId="140" applyFont="1" applyBorder="1" applyAlignment="1">
      <alignment horizontal="center" vertical="center"/>
    </xf>
    <xf numFmtId="0" fontId="4" fillId="0" borderId="47" xfId="140" applyFont="1" applyBorder="1" applyAlignment="1">
      <alignment horizontal="center"/>
    </xf>
    <xf numFmtId="0" fontId="4" fillId="0" borderId="60" xfId="140" applyFont="1" applyBorder="1" applyAlignment="1">
      <alignment horizontal="center"/>
    </xf>
    <xf numFmtId="0" fontId="4" fillId="0" borderId="61" xfId="140" applyFont="1" applyFill="1" applyBorder="1" applyAlignment="1">
      <alignment horizontal="center" vertical="center" wrapText="1"/>
    </xf>
    <xf numFmtId="0" fontId="4" fillId="0" borderId="60" xfId="140" applyFont="1" applyFill="1" applyBorder="1" applyAlignment="1">
      <alignment horizontal="center" vertical="center" wrapText="1"/>
    </xf>
    <xf numFmtId="0" fontId="4" fillId="0" borderId="11" xfId="140" applyFont="1" applyFill="1" applyBorder="1" applyAlignment="1">
      <alignment horizontal="center" vertical="center" wrapText="1"/>
    </xf>
    <xf numFmtId="0" fontId="4" fillId="0" borderId="64" xfId="140" applyFont="1" applyBorder="1" applyAlignment="1">
      <alignment horizontal="center" vertical="center" wrapText="1"/>
    </xf>
    <xf numFmtId="0" fontId="4" fillId="0" borderId="42" xfId="140" applyFont="1" applyBorder="1" applyAlignment="1">
      <alignment horizontal="center" vertical="center" wrapText="1"/>
    </xf>
    <xf numFmtId="0" fontId="4" fillId="0" borderId="65" xfId="140" applyFont="1" applyBorder="1" applyAlignment="1">
      <alignment horizontal="center" vertical="center" wrapText="1"/>
    </xf>
    <xf numFmtId="0" fontId="4" fillId="0" borderId="66" xfId="140" applyFont="1" applyBorder="1" applyAlignment="1">
      <alignment horizontal="center" vertical="center"/>
    </xf>
    <xf numFmtId="9" fontId="4" fillId="0" borderId="66" xfId="140" applyNumberFormat="1" applyFont="1" applyBorder="1" applyAlignment="1">
      <alignment horizontal="center" vertical="center" wrapText="1"/>
    </xf>
    <xf numFmtId="0" fontId="4" fillId="0" borderId="10" xfId="140" applyFont="1" applyBorder="1" applyAlignment="1">
      <alignment horizontal="center" vertical="center"/>
    </xf>
    <xf numFmtId="0" fontId="4" fillId="0" borderId="11" xfId="140" applyFont="1" applyBorder="1" applyAlignment="1">
      <alignment horizontal="center" vertical="center"/>
    </xf>
    <xf numFmtId="0" fontId="4" fillId="0" borderId="12" xfId="140" applyFont="1" applyBorder="1" applyAlignment="1">
      <alignment horizontal="center" vertical="center"/>
    </xf>
    <xf numFmtId="9" fontId="4" fillId="0" borderId="9" xfId="140" applyNumberFormat="1" applyFont="1" applyBorder="1" applyAlignment="1">
      <alignment horizontal="center" vertical="center" wrapText="1"/>
    </xf>
    <xf numFmtId="0" fontId="4" fillId="0" borderId="10" xfId="140" quotePrefix="1" applyFont="1" applyBorder="1" applyAlignment="1">
      <alignment horizontal="center" vertical="center"/>
    </xf>
    <xf numFmtId="0" fontId="4" fillId="0" borderId="11" xfId="140" applyFont="1" applyFill="1" applyBorder="1" applyAlignment="1">
      <alignment horizontal="center" vertical="center"/>
    </xf>
    <xf numFmtId="0" fontId="4" fillId="0" borderId="69" xfId="140" applyFont="1" applyBorder="1" applyAlignment="1">
      <alignment horizontal="center" vertical="center" wrapText="1"/>
    </xf>
    <xf numFmtId="0" fontId="4" fillId="0" borderId="7" xfId="140" applyFont="1" applyBorder="1" applyAlignment="1">
      <alignment horizontal="center" vertical="center" wrapText="1"/>
    </xf>
    <xf numFmtId="0" fontId="4" fillId="0" borderId="70" xfId="140" applyFont="1" applyBorder="1" applyAlignment="1">
      <alignment horizontal="center" vertical="center" wrapText="1"/>
    </xf>
    <xf numFmtId="0" fontId="4" fillId="0" borderId="39" xfId="140" applyFont="1" applyBorder="1" applyAlignment="1">
      <alignment horizontal="center" vertical="center" wrapText="1"/>
    </xf>
    <xf numFmtId="0" fontId="4" fillId="0" borderId="37" xfId="140" applyFont="1" applyBorder="1" applyAlignment="1">
      <alignment horizontal="center" vertical="center"/>
    </xf>
    <xf numFmtId="9" fontId="4" fillId="0" borderId="13" xfId="140" applyNumberFormat="1" applyFont="1" applyBorder="1" applyAlignment="1">
      <alignment horizontal="center" vertical="center" wrapText="1"/>
    </xf>
    <xf numFmtId="0" fontId="105" fillId="0" borderId="58" xfId="150" applyFont="1" applyBorder="1" applyAlignment="1">
      <alignment horizontal="center" vertical="center" wrapText="1"/>
    </xf>
    <xf numFmtId="0" fontId="105" fillId="0" borderId="9" xfId="150" applyFont="1" applyBorder="1" applyAlignment="1">
      <alignment horizontal="center" vertical="center" wrapText="1"/>
    </xf>
    <xf numFmtId="0" fontId="106" fillId="0" borderId="9" xfId="150" applyFont="1" applyBorder="1" applyAlignment="1">
      <alignment horizontal="center" vertical="center"/>
    </xf>
    <xf numFmtId="0" fontId="13" fillId="0" borderId="9" xfId="150" applyFont="1" applyBorder="1" applyAlignment="1">
      <alignment vertical="center" wrapText="1"/>
    </xf>
    <xf numFmtId="0" fontId="13" fillId="0" borderId="40" xfId="150" applyFont="1" applyBorder="1" applyAlignment="1">
      <alignment vertical="center" wrapText="1"/>
    </xf>
    <xf numFmtId="0" fontId="13" fillId="0" borderId="71" xfId="150" applyFont="1" applyBorder="1" applyAlignment="1">
      <alignment horizontal="center" vertical="center" wrapText="1"/>
    </xf>
    <xf numFmtId="0" fontId="13" fillId="0" borderId="17" xfId="150" applyFont="1" applyBorder="1" applyAlignment="1">
      <alignment horizontal="center" vertical="center" wrapText="1"/>
    </xf>
    <xf numFmtId="0" fontId="13" fillId="0" borderId="17" xfId="150" applyFont="1" applyBorder="1" applyAlignment="1">
      <alignment vertical="center" wrapText="1"/>
    </xf>
    <xf numFmtId="0" fontId="13" fillId="0" borderId="72" xfId="150" applyFont="1" applyBorder="1" applyAlignment="1">
      <alignment vertical="center" wrapText="1"/>
    </xf>
    <xf numFmtId="0" fontId="13" fillId="0" borderId="18" xfId="183" applyFont="1" applyBorder="1" applyAlignment="1">
      <alignment horizontal="left" vertical="center"/>
    </xf>
    <xf numFmtId="0" fontId="13" fillId="0" borderId="0" xfId="183" applyFont="1" applyBorder="1" applyAlignment="1">
      <alignment horizontal="left" vertical="center"/>
    </xf>
    <xf numFmtId="0" fontId="105" fillId="0" borderId="0" xfId="183" applyFont="1" applyBorder="1" applyAlignment="1">
      <alignment horizontal="center" vertical="center"/>
    </xf>
    <xf numFmtId="0" fontId="105" fillId="0" borderId="0" xfId="183" applyFont="1" applyBorder="1" applyAlignment="1">
      <alignment vertical="center"/>
    </xf>
    <xf numFmtId="0" fontId="13" fillId="0" borderId="18" xfId="183" applyFont="1" applyBorder="1" applyAlignment="1">
      <alignment vertical="center"/>
    </xf>
    <xf numFmtId="0" fontId="13" fillId="0" borderId="0" xfId="183" applyFont="1" applyBorder="1" applyAlignment="1">
      <alignment vertical="center"/>
    </xf>
    <xf numFmtId="0" fontId="105" fillId="0" borderId="0" xfId="183" applyFont="1" applyBorder="1" applyAlignment="1">
      <alignment horizontal="left" vertical="center"/>
    </xf>
    <xf numFmtId="0" fontId="105" fillId="0" borderId="35" xfId="183" applyFont="1" applyBorder="1" applyAlignment="1">
      <alignment horizontal="left" vertical="center"/>
    </xf>
    <xf numFmtId="1" fontId="105" fillId="0" borderId="0" xfId="183" applyNumberFormat="1" applyFont="1" applyBorder="1" applyAlignment="1">
      <alignment horizontal="left" vertical="center"/>
    </xf>
    <xf numFmtId="0" fontId="13" fillId="0" borderId="38" xfId="196" applyFont="1" applyFill="1" applyBorder="1" applyAlignment="1">
      <alignment horizontal="center" vertical="center" wrapText="1"/>
    </xf>
    <xf numFmtId="0" fontId="13" fillId="0" borderId="16" xfId="196" applyFont="1" applyFill="1" applyBorder="1" applyAlignment="1">
      <alignment horizontal="center" vertical="center" wrapText="1"/>
    </xf>
    <xf numFmtId="0" fontId="13" fillId="0" borderId="36" xfId="196" applyFont="1" applyFill="1" applyBorder="1" applyAlignment="1">
      <alignment horizontal="center" vertical="center" wrapText="1"/>
    </xf>
    <xf numFmtId="0" fontId="13" fillId="0" borderId="18" xfId="196" applyFont="1" applyFill="1" applyBorder="1" applyAlignment="1">
      <alignment horizontal="center" vertical="center" wrapText="1"/>
    </xf>
    <xf numFmtId="0" fontId="13" fillId="0" borderId="0" xfId="196" applyFont="1" applyFill="1" applyBorder="1" applyAlignment="1">
      <alignment horizontal="center" vertical="center" wrapText="1"/>
    </xf>
    <xf numFmtId="0" fontId="13" fillId="0" borderId="35" xfId="196" applyFont="1" applyFill="1" applyBorder="1" applyAlignment="1">
      <alignment horizontal="center" vertical="center" wrapText="1"/>
    </xf>
    <xf numFmtId="0" fontId="13" fillId="0" borderId="39" xfId="196" applyFont="1" applyFill="1" applyBorder="1" applyAlignment="1">
      <alignment horizontal="center" vertical="center" wrapText="1"/>
    </xf>
    <xf numFmtId="0" fontId="13" fillId="0" borderId="25" xfId="196" applyFont="1" applyFill="1" applyBorder="1" applyAlignment="1">
      <alignment horizontal="center" vertical="center" wrapText="1"/>
    </xf>
    <xf numFmtId="0" fontId="13" fillId="0" borderId="37" xfId="196" applyFont="1" applyFill="1" applyBorder="1" applyAlignment="1">
      <alignment horizontal="center" vertical="center" wrapText="1"/>
    </xf>
    <xf numFmtId="0" fontId="111" fillId="0" borderId="38" xfId="196" applyFont="1" applyFill="1" applyBorder="1" applyAlignment="1">
      <alignment horizontal="center" vertical="center"/>
    </xf>
    <xf numFmtId="0" fontId="111" fillId="0" borderId="16" xfId="196" applyFont="1" applyFill="1" applyBorder="1" applyAlignment="1">
      <alignment horizontal="center" vertical="center"/>
    </xf>
    <xf numFmtId="0" fontId="111" fillId="0" borderId="36" xfId="196" applyFont="1" applyFill="1" applyBorder="1" applyAlignment="1">
      <alignment horizontal="center" vertical="center"/>
    </xf>
    <xf numFmtId="0" fontId="111" fillId="0" borderId="18" xfId="196" applyFont="1" applyFill="1" applyBorder="1" applyAlignment="1">
      <alignment horizontal="center" vertical="center"/>
    </xf>
    <xf numFmtId="0" fontId="111" fillId="0" borderId="0" xfId="196" applyFont="1" applyFill="1" applyBorder="1" applyAlignment="1">
      <alignment horizontal="center" vertical="center"/>
    </xf>
    <xf numFmtId="0" fontId="111" fillId="0" borderId="35" xfId="196" applyFont="1" applyFill="1" applyBorder="1" applyAlignment="1">
      <alignment horizontal="center" vertical="center"/>
    </xf>
    <xf numFmtId="0" fontId="111" fillId="0" borderId="39" xfId="196" applyFont="1" applyFill="1" applyBorder="1" applyAlignment="1">
      <alignment horizontal="center" vertical="center"/>
    </xf>
    <xf numFmtId="0" fontId="111" fillId="0" borderId="25" xfId="196" applyFont="1" applyFill="1" applyBorder="1" applyAlignment="1">
      <alignment horizontal="center" vertical="center"/>
    </xf>
    <xf numFmtId="0" fontId="111" fillId="0" borderId="37" xfId="196" applyFont="1" applyFill="1" applyBorder="1" applyAlignment="1">
      <alignment horizontal="center" vertical="center"/>
    </xf>
    <xf numFmtId="0" fontId="105" fillId="0" borderId="16" xfId="183" applyFont="1" applyBorder="1" applyAlignment="1">
      <alignment horizontal="left" vertical="center" wrapText="1"/>
    </xf>
    <xf numFmtId="0" fontId="105" fillId="0" borderId="36" xfId="183" applyFont="1" applyBorder="1" applyAlignment="1">
      <alignment horizontal="left" vertical="center" wrapText="1"/>
    </xf>
    <xf numFmtId="0" fontId="115" fillId="0" borderId="15" xfId="150" applyFont="1" applyBorder="1" applyAlignment="1">
      <alignment vertical="top" textRotation="90" wrapText="1"/>
    </xf>
    <xf numFmtId="0" fontId="2" fillId="0" borderId="14" xfId="150" applyBorder="1" applyAlignment="1">
      <alignment vertical="top" textRotation="90" wrapText="1"/>
    </xf>
    <xf numFmtId="0" fontId="2" fillId="0" borderId="13" xfId="150" applyBorder="1" applyAlignment="1">
      <alignment vertical="top" textRotation="90" wrapText="1"/>
    </xf>
    <xf numFmtId="0" fontId="118" fillId="0" borderId="15" xfId="150" applyFont="1" applyBorder="1" applyAlignment="1">
      <alignment horizontal="center" vertical="center" wrapText="1"/>
    </xf>
    <xf numFmtId="0" fontId="118" fillId="0" borderId="14" xfId="150" applyFont="1" applyBorder="1" applyAlignment="1">
      <alignment horizontal="center" vertical="center" wrapText="1"/>
    </xf>
    <xf numFmtId="0" fontId="118" fillId="0" borderId="13" xfId="150" applyFont="1" applyBorder="1" applyAlignment="1">
      <alignment horizontal="center" vertical="center" wrapText="1"/>
    </xf>
    <xf numFmtId="0" fontId="119" fillId="0" borderId="39" xfId="150" applyFont="1" applyBorder="1" applyAlignment="1">
      <alignment wrapText="1"/>
    </xf>
    <xf numFmtId="0" fontId="120" fillId="0" borderId="25" xfId="150" applyFont="1" applyBorder="1" applyAlignment="1">
      <alignment wrapText="1"/>
    </xf>
    <xf numFmtId="0" fontId="120" fillId="0" borderId="37" xfId="150" applyFont="1" applyBorder="1" applyAlignment="1">
      <alignment wrapText="1"/>
    </xf>
    <xf numFmtId="14" fontId="115" fillId="0" borderId="10" xfId="150" applyNumberFormat="1" applyFont="1" applyBorder="1" applyAlignment="1">
      <alignment horizontal="center" wrapText="1"/>
    </xf>
    <xf numFmtId="0" fontId="2" fillId="0" borderId="12" xfId="150" applyBorder="1" applyAlignment="1">
      <alignment horizontal="center" wrapText="1"/>
    </xf>
    <xf numFmtId="0" fontId="115" fillId="0" borderId="10" xfId="150" applyFont="1" applyBorder="1" applyAlignment="1">
      <alignment horizontal="center" wrapText="1"/>
    </xf>
    <xf numFmtId="0" fontId="2" fillId="0" borderId="11" xfId="150" applyBorder="1" applyAlignment="1">
      <alignment horizontal="center" wrapText="1"/>
    </xf>
    <xf numFmtId="0" fontId="115" fillId="0" borderId="15" xfId="150" applyFont="1" applyBorder="1" applyAlignment="1">
      <alignment horizontal="center" vertical="top" textRotation="90" wrapText="1"/>
    </xf>
    <xf numFmtId="0" fontId="115" fillId="0" borderId="14" xfId="150" applyFont="1" applyBorder="1" applyAlignment="1">
      <alignment horizontal="center" vertical="top" textRotation="90" wrapText="1"/>
    </xf>
    <xf numFmtId="0" fontId="115" fillId="0" borderId="13" xfId="150" applyFont="1" applyBorder="1" applyAlignment="1">
      <alignment horizontal="center" vertical="top" textRotation="90" wrapText="1"/>
    </xf>
    <xf numFmtId="0" fontId="115" fillId="0" borderId="36" xfId="150" applyFont="1" applyBorder="1" applyAlignment="1">
      <alignment horizontal="center" vertical="top" textRotation="90" wrapText="1"/>
    </xf>
    <xf numFmtId="0" fontId="115" fillId="0" borderId="35" xfId="150" applyFont="1" applyBorder="1" applyAlignment="1">
      <alignment horizontal="center" vertical="top" textRotation="90" wrapText="1"/>
    </xf>
    <xf numFmtId="0" fontId="115" fillId="0" borderId="37" xfId="150" applyFont="1" applyBorder="1" applyAlignment="1">
      <alignment horizontal="center" vertical="top" textRotation="90" wrapText="1"/>
    </xf>
    <xf numFmtId="0" fontId="2" fillId="0" borderId="14" xfId="150" applyBorder="1" applyAlignment="1">
      <alignment horizontal="center" vertical="top" wrapText="1"/>
    </xf>
    <xf numFmtId="0" fontId="2" fillId="0" borderId="13" xfId="150" applyBorder="1" applyAlignment="1">
      <alignment horizontal="center" vertical="top" wrapText="1"/>
    </xf>
    <xf numFmtId="0" fontId="2" fillId="0" borderId="14" xfId="150" applyBorder="1" applyAlignment="1">
      <alignment horizontal="center" vertical="top" textRotation="90" wrapText="1"/>
    </xf>
    <xf numFmtId="0" fontId="2" fillId="0" borderId="13" xfId="150" applyBorder="1" applyAlignment="1">
      <alignment horizontal="center" vertical="top" textRotation="90" wrapText="1"/>
    </xf>
    <xf numFmtId="0" fontId="115" fillId="0" borderId="35" xfId="150" applyFont="1" applyBorder="1" applyAlignment="1">
      <alignment wrapText="1"/>
    </xf>
    <xf numFmtId="0" fontId="117" fillId="0" borderId="37" xfId="309" applyBorder="1" applyAlignment="1">
      <alignment wrapText="1"/>
    </xf>
    <xf numFmtId="0" fontId="42" fillId="0" borderId="38" xfId="150" applyFont="1" applyBorder="1" applyAlignment="1">
      <alignment horizontal="center" wrapText="1"/>
    </xf>
    <xf numFmtId="0" fontId="115" fillId="0" borderId="16" xfId="150" applyFont="1" applyBorder="1" applyAlignment="1">
      <alignment horizontal="center" wrapText="1"/>
    </xf>
    <xf numFmtId="0" fontId="115" fillId="0" borderId="36" xfId="150" applyFont="1" applyBorder="1" applyAlignment="1">
      <alignment horizontal="center" wrapText="1"/>
    </xf>
    <xf numFmtId="0" fontId="116" fillId="0" borderId="18" xfId="150" applyFont="1" applyBorder="1" applyAlignment="1">
      <alignment horizontal="center" wrapText="1"/>
    </xf>
    <xf numFmtId="0" fontId="115" fillId="0" borderId="0" xfId="150" applyFont="1" applyBorder="1" applyAlignment="1">
      <alignment horizontal="center" wrapText="1"/>
    </xf>
    <xf numFmtId="0" fontId="115" fillId="0" borderId="35" xfId="150" applyFont="1" applyBorder="1" applyAlignment="1">
      <alignment horizontal="center" wrapText="1"/>
    </xf>
    <xf numFmtId="0" fontId="115" fillId="0" borderId="18" xfId="150" applyFont="1" applyBorder="1" applyAlignment="1">
      <alignment wrapText="1"/>
    </xf>
    <xf numFmtId="0" fontId="115" fillId="0" borderId="0" xfId="150" applyFont="1" applyBorder="1" applyAlignment="1">
      <alignment wrapText="1"/>
    </xf>
    <xf numFmtId="0" fontId="42" fillId="0" borderId="39" xfId="150" applyFont="1" applyBorder="1" applyAlignment="1">
      <alignment wrapText="1"/>
    </xf>
    <xf numFmtId="0" fontId="2" fillId="0" borderId="25" xfId="150" applyBorder="1" applyAlignment="1">
      <alignment wrapText="1"/>
    </xf>
    <xf numFmtId="0" fontId="2" fillId="0" borderId="37" xfId="150" applyBorder="1" applyAlignment="1">
      <alignment wrapText="1"/>
    </xf>
    <xf numFmtId="0" fontId="42" fillId="0" borderId="38" xfId="150" applyFont="1" applyBorder="1" applyAlignment="1">
      <alignment wrapText="1"/>
    </xf>
    <xf numFmtId="0" fontId="2" fillId="0" borderId="16" xfId="150" applyBorder="1" applyAlignment="1">
      <alignment wrapText="1"/>
    </xf>
    <xf numFmtId="0" fontId="2" fillId="0" borderId="36" xfId="150" applyBorder="1" applyAlignment="1">
      <alignment wrapText="1"/>
    </xf>
    <xf numFmtId="0" fontId="121" fillId="33" borderId="85" xfId="140" applyFont="1" applyFill="1" applyBorder="1" applyAlignment="1" applyProtection="1">
      <alignment horizontal="center" vertical="center" wrapText="1"/>
    </xf>
    <xf numFmtId="0" fontId="121" fillId="33" borderId="86" xfId="140" applyFont="1" applyFill="1" applyBorder="1" applyAlignment="1" applyProtection="1">
      <alignment horizontal="center" vertical="center" wrapText="1"/>
    </xf>
    <xf numFmtId="0" fontId="121" fillId="33" borderId="87" xfId="140" applyFont="1" applyFill="1" applyBorder="1" applyAlignment="1" applyProtection="1">
      <alignment horizontal="center" vertical="center" wrapText="1"/>
    </xf>
    <xf numFmtId="0" fontId="121" fillId="33" borderId="0" xfId="140" applyFont="1" applyFill="1" applyBorder="1" applyAlignment="1" applyProtection="1">
      <alignment horizontal="center" vertical="center" wrapText="1"/>
    </xf>
    <xf numFmtId="0" fontId="121" fillId="33" borderId="88" xfId="140" applyFont="1" applyFill="1" applyBorder="1" applyAlignment="1" applyProtection="1">
      <alignment horizontal="center" vertical="center" wrapText="1"/>
    </xf>
    <xf numFmtId="0" fontId="121" fillId="33" borderId="89" xfId="140" applyFont="1" applyFill="1" applyBorder="1" applyAlignment="1" applyProtection="1">
      <alignment horizontal="center" vertical="center" wrapText="1"/>
    </xf>
    <xf numFmtId="0" fontId="122" fillId="33" borderId="9" xfId="140" applyFont="1" applyFill="1" applyBorder="1" applyAlignment="1" applyProtection="1">
      <alignment horizontal="center" vertical="center"/>
    </xf>
    <xf numFmtId="0" fontId="42" fillId="33" borderId="9" xfId="140" applyFont="1" applyFill="1" applyBorder="1" applyAlignment="1" applyProtection="1">
      <alignment horizontal="center" vertical="center"/>
    </xf>
    <xf numFmtId="14" fontId="42" fillId="33" borderId="9" xfId="140" quotePrefix="1" applyNumberFormat="1" applyFont="1" applyFill="1" applyBorder="1" applyAlignment="1" applyProtection="1">
      <alignment horizontal="center" vertical="center"/>
    </xf>
    <xf numFmtId="0" fontId="2" fillId="33" borderId="90" xfId="140" applyFont="1" applyFill="1" applyBorder="1" applyAlignment="1" applyProtection="1">
      <alignment horizontal="left" vertical="center" indent="1"/>
    </xf>
    <xf numFmtId="0" fontId="2" fillId="34" borderId="90" xfId="140" applyFill="1" applyBorder="1" applyAlignment="1" applyProtection="1">
      <alignment vertical="center" wrapText="1"/>
      <protection locked="0"/>
    </xf>
    <xf numFmtId="0" fontId="2" fillId="34" borderId="90" xfId="140" applyFont="1" applyFill="1" applyBorder="1" applyAlignment="1" applyProtection="1">
      <alignment vertical="center" wrapText="1"/>
      <protection locked="0"/>
    </xf>
    <xf numFmtId="0" fontId="2" fillId="34" borderId="90" xfId="140" applyFill="1" applyBorder="1" applyAlignment="1" applyProtection="1">
      <alignment horizontal="left" vertical="center" indent="1"/>
      <protection locked="0"/>
    </xf>
    <xf numFmtId="0" fontId="2" fillId="34" borderId="90" xfId="140" applyFont="1" applyFill="1" applyBorder="1" applyAlignment="1" applyProtection="1">
      <alignment horizontal="left" vertical="center" indent="1"/>
      <protection locked="0"/>
    </xf>
    <xf numFmtId="0" fontId="2" fillId="34" borderId="91" xfId="140" applyFont="1" applyFill="1" applyBorder="1" applyAlignment="1" applyProtection="1">
      <alignment vertical="center" wrapText="1"/>
      <protection locked="0"/>
    </xf>
    <xf numFmtId="0" fontId="2" fillId="33" borderId="91" xfId="140" applyFont="1" applyFill="1" applyBorder="1" applyAlignment="1" applyProtection="1">
      <alignment horizontal="left" vertical="center" indent="1"/>
    </xf>
    <xf numFmtId="0" fontId="2" fillId="33" borderId="91" xfId="140" applyFill="1" applyBorder="1" applyAlignment="1" applyProtection="1">
      <alignment horizontal="left" vertical="center" indent="1"/>
    </xf>
    <xf numFmtId="0" fontId="124" fillId="33" borderId="95" xfId="140" applyFont="1" applyFill="1" applyBorder="1" applyAlignment="1" applyProtection="1">
      <alignment horizontal="center" vertical="center"/>
    </xf>
    <xf numFmtId="0" fontId="2" fillId="0" borderId="90" xfId="140" applyFont="1" applyFill="1" applyBorder="1" applyAlignment="1" applyProtection="1">
      <alignment horizontal="left" vertical="center" indent="1"/>
    </xf>
    <xf numFmtId="0" fontId="37" fillId="33" borderId="90" xfId="140" applyFont="1" applyFill="1" applyBorder="1" applyAlignment="1" applyProtection="1">
      <alignment horizontal="left" vertical="center" indent="1"/>
    </xf>
    <xf numFmtId="0" fontId="37" fillId="33" borderId="96" xfId="140" applyFont="1" applyFill="1" applyBorder="1" applyAlignment="1" applyProtection="1">
      <alignment horizontal="left" vertical="center" indent="1"/>
    </xf>
    <xf numFmtId="0" fontId="125" fillId="0" borderId="86" xfId="140" applyFont="1" applyBorder="1" applyAlignment="1" applyProtection="1">
      <alignment horizontal="center" vertical="center"/>
    </xf>
    <xf numFmtId="0" fontId="125" fillId="0" borderId="98" xfId="140" applyFont="1" applyBorder="1" applyAlignment="1" applyProtection="1">
      <alignment horizontal="center" vertical="center"/>
    </xf>
    <xf numFmtId="0" fontId="125" fillId="0" borderId="0" xfId="140" applyFont="1" applyBorder="1" applyAlignment="1" applyProtection="1">
      <alignment horizontal="center" vertical="center"/>
    </xf>
    <xf numFmtId="0" fontId="125" fillId="0" borderId="99" xfId="140" applyFont="1" applyBorder="1" applyAlignment="1" applyProtection="1">
      <alignment horizontal="center" vertical="center"/>
    </xf>
    <xf numFmtId="0" fontId="125" fillId="0" borderId="89" xfId="140" applyFont="1" applyBorder="1" applyAlignment="1" applyProtection="1">
      <alignment horizontal="center" vertical="center"/>
    </xf>
    <xf numFmtId="0" fontId="125" fillId="0" borderId="93" xfId="140" applyFont="1" applyBorder="1" applyAlignment="1" applyProtection="1">
      <alignment horizontal="center" vertical="center"/>
    </xf>
    <xf numFmtId="0" fontId="2" fillId="0" borderId="38" xfId="140" applyBorder="1" applyAlignment="1" applyProtection="1">
      <alignment horizontal="center" vertical="center"/>
    </xf>
    <xf numFmtId="0" fontId="2" fillId="0" borderId="36" xfId="140" applyBorder="1" applyAlignment="1" applyProtection="1">
      <alignment horizontal="center" vertical="center"/>
    </xf>
    <xf numFmtId="0" fontId="2" fillId="0" borderId="39" xfId="140" applyBorder="1" applyAlignment="1" applyProtection="1">
      <alignment horizontal="center" vertical="center"/>
    </xf>
    <xf numFmtId="0" fontId="2" fillId="0" borderId="37" xfId="140" applyBorder="1" applyAlignment="1" applyProtection="1">
      <alignment horizontal="center" vertical="center"/>
    </xf>
    <xf numFmtId="0" fontId="2" fillId="0" borderId="9" xfId="140" applyBorder="1" applyAlignment="1" applyProtection="1">
      <alignment horizontal="center" vertical="center"/>
    </xf>
    <xf numFmtId="0" fontId="37" fillId="33" borderId="91" xfId="140" applyFont="1" applyFill="1" applyBorder="1" applyAlignment="1" applyProtection="1">
      <alignment horizontal="left" vertical="center" indent="1"/>
    </xf>
    <xf numFmtId="0" fontId="124" fillId="33" borderId="92" xfId="140" applyFont="1" applyFill="1" applyBorder="1" applyAlignment="1" applyProtection="1">
      <alignment horizontal="left" vertical="center" indent="1"/>
    </xf>
    <xf numFmtId="0" fontId="2" fillId="33" borderId="92" xfId="140" applyFont="1" applyFill="1" applyBorder="1" applyAlignment="1" applyProtection="1">
      <alignment horizontal="left" vertical="center" indent="1"/>
    </xf>
    <xf numFmtId="193" fontId="2" fillId="33" borderId="95" xfId="140" applyNumberFormat="1" applyFont="1" applyFill="1" applyBorder="1" applyAlignment="1" applyProtection="1">
      <alignment horizontal="center" vertical="center"/>
    </xf>
    <xf numFmtId="218" fontId="2" fillId="33" borderId="95" xfId="140" applyNumberFormat="1" applyFont="1" applyFill="1" applyBorder="1" applyAlignment="1" applyProtection="1">
      <alignment horizontal="left" vertical="center" indent="2"/>
    </xf>
    <xf numFmtId="193" fontId="127" fillId="33" borderId="91" xfId="140" applyNumberFormat="1" applyFont="1" applyFill="1" applyBorder="1" applyAlignment="1" applyProtection="1">
      <alignment horizontal="center" vertical="center"/>
    </xf>
    <xf numFmtId="177" fontId="2" fillId="33" borderId="95" xfId="140" applyNumberFormat="1" applyFont="1" applyFill="1" applyBorder="1" applyAlignment="1" applyProtection="1">
      <alignment horizontal="center" vertical="center"/>
    </xf>
    <xf numFmtId="1" fontId="2" fillId="33" borderId="95" xfId="140" applyNumberFormat="1" applyFont="1" applyFill="1" applyBorder="1" applyAlignment="1" applyProtection="1">
      <alignment horizontal="left" vertical="center" indent="2"/>
    </xf>
    <xf numFmtId="0" fontId="2" fillId="33" borderId="95" xfId="140" applyNumberFormat="1" applyFont="1" applyFill="1" applyBorder="1" applyAlignment="1" applyProtection="1">
      <alignment horizontal="left" vertical="center" indent="3"/>
    </xf>
    <xf numFmtId="0" fontId="2" fillId="0" borderId="88" xfId="140" applyFont="1" applyBorder="1" applyAlignment="1" applyProtection="1">
      <alignment horizontal="left" vertical="center" indent="1"/>
    </xf>
    <xf numFmtId="218" fontId="2" fillId="33" borderId="93" xfId="140" applyNumberFormat="1" applyFont="1" applyFill="1" applyBorder="1" applyAlignment="1" applyProtection="1">
      <alignment horizontal="left" vertical="center" indent="3"/>
    </xf>
    <xf numFmtId="0" fontId="2" fillId="33" borderId="88" xfId="140" applyFont="1" applyFill="1" applyBorder="1" applyAlignment="1" applyProtection="1">
      <alignment horizontal="left" vertical="center" indent="1"/>
    </xf>
    <xf numFmtId="49" fontId="2" fillId="33" borderId="93" xfId="140" applyNumberFormat="1" applyFont="1" applyFill="1" applyBorder="1" applyAlignment="1" applyProtection="1">
      <alignment horizontal="left" vertical="center" indent="3"/>
    </xf>
    <xf numFmtId="0" fontId="2" fillId="33" borderId="93" xfId="140" applyFont="1" applyFill="1" applyBorder="1" applyAlignment="1" applyProtection="1">
      <alignment horizontal="left" vertical="center" indent="3"/>
    </xf>
    <xf numFmtId="219" fontId="124" fillId="33" borderId="88" xfId="140" applyNumberFormat="1" applyFont="1" applyFill="1" applyBorder="1" applyAlignment="1" applyProtection="1">
      <alignment horizontal="left" vertical="center" indent="1"/>
    </xf>
    <xf numFmtId="217" fontId="124" fillId="33" borderId="93" xfId="140" applyNumberFormat="1" applyFont="1" applyFill="1" applyBorder="1" applyAlignment="1" applyProtection="1">
      <alignment horizontal="left" vertical="center" indent="3"/>
    </xf>
    <xf numFmtId="0" fontId="124" fillId="33" borderId="88" xfId="140" applyFont="1" applyFill="1" applyBorder="1" applyAlignment="1" applyProtection="1">
      <alignment horizontal="left" vertical="center" indent="1"/>
    </xf>
    <xf numFmtId="0" fontId="129" fillId="33" borderId="92" xfId="140" applyFont="1" applyFill="1" applyBorder="1" applyAlignment="1" applyProtection="1">
      <alignment horizontal="center" vertical="center"/>
    </xf>
    <xf numFmtId="0" fontId="130" fillId="33" borderId="94" xfId="140" applyFont="1" applyFill="1" applyBorder="1" applyAlignment="1" applyProtection="1">
      <alignment horizontal="center" vertical="center"/>
    </xf>
    <xf numFmtId="0" fontId="37" fillId="33" borderId="100" xfId="140" applyFont="1" applyFill="1" applyBorder="1" applyAlignment="1" applyProtection="1">
      <alignment horizontal="center" vertical="center"/>
    </xf>
  </cellXfs>
  <cellStyles count="357">
    <cellStyle name="&#10;shell=progma" xfId="3"/>
    <cellStyle name="$(0)" xfId="4"/>
    <cellStyle name="(0)" xfId="5"/>
    <cellStyle name="(0.0%)" xfId="6"/>
    <cellStyle name="_CCB Cost Comparison_ 24 06 2009" xfId="7"/>
    <cellStyle name="_CCB COSTING_NEW" xfId="8"/>
    <cellStyle name="_CCB COSTING_OLD" xfId="9"/>
    <cellStyle name="_CCB MD Approval final" xfId="10"/>
    <cellStyle name="_CCB MD Approval final New" xfId="11"/>
    <cellStyle name="_COST BOOK UTK SPLIT OCT 08 rev 3" xfId="12"/>
    <cellStyle name="_Cost Sheet after correction" xfId="13"/>
    <cellStyle name="_Data Sheet" xfId="14"/>
    <cellStyle name="_Engine Fasteners-30-Apr08" xfId="15"/>
    <cellStyle name="_Rport Coil feeding praposal with blanking line (4)" xfId="16"/>
    <cellStyle name="_Sash_MD Approval" xfId="17"/>
    <cellStyle name="_TI Metal Forming-Nano-CCB-ChildParts-price-060709" xfId="18"/>
    <cellStyle name="_TRIMS 29 Sep TPL Part Price modified" xfId="19"/>
    <cellStyle name="_Upgrade Specifications and Features list 11th Jan 11" xfId="20"/>
    <cellStyle name="_YIELD" xfId="21"/>
    <cellStyle name="=C:\WINNT\SYSTEM32\COMMAND.COM" xfId="22"/>
    <cellStyle name="æØè [0.00]_¸Ú°ÑÔpæo^" xfId="23"/>
    <cellStyle name="æØè_¸Ú°ÑÔpæo^" xfId="24"/>
    <cellStyle name="ÊÝ [0.00]_¸@pR" xfId="25"/>
    <cellStyle name="ÊÝ_¸@pR" xfId="26"/>
    <cellStyle name="W_¸@pR" xfId="27"/>
    <cellStyle name="20% - Accent1 2" xfId="311"/>
    <cellStyle name="20% - Accent2 2" xfId="312"/>
    <cellStyle name="20% - Accent3 2" xfId="313"/>
    <cellStyle name="20% - Accent4 2" xfId="314"/>
    <cellStyle name="20% - Accent5 2" xfId="315"/>
    <cellStyle name="20% - Accent6 2" xfId="316"/>
    <cellStyle name="20% - ส่วนที่ถูกเน้น1" xfId="28"/>
    <cellStyle name="20% - ส่วนที่ถูกเน้น2" xfId="29"/>
    <cellStyle name="20% - ส่วนที่ถูกเน้น3" xfId="30"/>
    <cellStyle name="20% - ส่วนที่ถูกเน้น4" xfId="31"/>
    <cellStyle name="20% - ส่วนที่ถูกเน้น5" xfId="32"/>
    <cellStyle name="20% - ส่วนที่ถูกเน้น6" xfId="33"/>
    <cellStyle name="40% - Accent1 2" xfId="317"/>
    <cellStyle name="40% - Accent2 2" xfId="318"/>
    <cellStyle name="40% - Accent3 2" xfId="319"/>
    <cellStyle name="40% - Accent4 2" xfId="320"/>
    <cellStyle name="40% - Accent5 2" xfId="321"/>
    <cellStyle name="40% - Accent6 2" xfId="322"/>
    <cellStyle name="40% - ส่วนที่ถูกเน้น1" xfId="34"/>
    <cellStyle name="40% - ส่วนที่ถูกเน้น2" xfId="35"/>
    <cellStyle name="40% - ส่วนที่ถูกเน้น3" xfId="36"/>
    <cellStyle name="40% - ส่วนที่ถูกเน้น4" xfId="37"/>
    <cellStyle name="40% - ส่วนที่ถูกเน้น5" xfId="38"/>
    <cellStyle name="40% - ส่วนที่ถูกเน้น6" xfId="39"/>
    <cellStyle name="6-0" xfId="40"/>
    <cellStyle name="60% - Accent1 2" xfId="323"/>
    <cellStyle name="60% - Accent2 2" xfId="324"/>
    <cellStyle name="60% - Accent3 2" xfId="325"/>
    <cellStyle name="60% - Accent4 2" xfId="326"/>
    <cellStyle name="60% - Accent5 2" xfId="327"/>
    <cellStyle name="60% - Accent6 2" xfId="328"/>
    <cellStyle name="60% - ส่วนที่ถูกเน้น1" xfId="41"/>
    <cellStyle name="60% - ส่วนที่ถูกเน้น2" xfId="42"/>
    <cellStyle name="60% - ส่วนที่ถูกเน้น3" xfId="43"/>
    <cellStyle name="60% - ส่วนที่ถูกเน้น4" xfId="44"/>
    <cellStyle name="60% - ส่วนที่ถูกเน้น5" xfId="45"/>
    <cellStyle name="60% - ส่วนที่ถูกเน้น6" xfId="46"/>
    <cellStyle name="6-0_19.Quality Plan" xfId="47"/>
    <cellStyle name="Accent1 2" xfId="329"/>
    <cellStyle name="Accent2 2" xfId="330"/>
    <cellStyle name="Accent3 2" xfId="331"/>
    <cellStyle name="Accent4 2" xfId="332"/>
    <cellStyle name="Accent5 2" xfId="333"/>
    <cellStyle name="Accent6 2" xfId="334"/>
    <cellStyle name="AcNote" xfId="48"/>
    <cellStyle name="active" xfId="335"/>
    <cellStyle name="args.style" xfId="49"/>
    <cellStyle name="AutoFormat-Optionen" xfId="50"/>
    <cellStyle name="Bad 2" xfId="336"/>
    <cellStyle name="Body" xfId="51"/>
    <cellStyle name="Cabecera 1" xfId="52"/>
    <cellStyle name="Cabecera 2" xfId="53"/>
    <cellStyle name="Calc Currency (0)" xfId="54"/>
    <cellStyle name="Calc Currency (2)" xfId="55"/>
    <cellStyle name="Calc Percent (0)" xfId="56"/>
    <cellStyle name="Calc Percent (1)" xfId="57"/>
    <cellStyle name="Calc Percent (2)" xfId="58"/>
    <cellStyle name="Calc Units (0)" xfId="59"/>
    <cellStyle name="Calc Units (1)" xfId="60"/>
    <cellStyle name="Calc Units (2)" xfId="61"/>
    <cellStyle name="Calculation 2" xfId="337"/>
    <cellStyle name="category" xfId="62"/>
    <cellStyle name="Check Cell 2" xfId="338"/>
    <cellStyle name="Column Heading" xfId="63"/>
    <cellStyle name="Comma  - Style1" xfId="64"/>
    <cellStyle name="Comma  - Style2" xfId="65"/>
    <cellStyle name="Comma  - Style3" xfId="66"/>
    <cellStyle name="Comma  - Style4" xfId="67"/>
    <cellStyle name="Comma  - Style5" xfId="68"/>
    <cellStyle name="Comma  - Style6" xfId="69"/>
    <cellStyle name="Comma  - Style7" xfId="70"/>
    <cellStyle name="Comma  - Style8" xfId="71"/>
    <cellStyle name="Comma [00]" xfId="72"/>
    <cellStyle name="Comma 2" xfId="73"/>
    <cellStyle name="Comma 3" xfId="339"/>
    <cellStyle name="Comma[2]" xfId="74"/>
    <cellStyle name="Comma0" xfId="75"/>
    <cellStyle name="Comma0 - Modelo1" xfId="76"/>
    <cellStyle name="Comma0 - Style1" xfId="77"/>
    <cellStyle name="Comma1 - Modelo2" xfId="78"/>
    <cellStyle name="Comma1 - Style2" xfId="79"/>
    <cellStyle name="Contracts" xfId="80"/>
    <cellStyle name="Currency $" xfId="81"/>
    <cellStyle name="Currency (B)" xfId="82"/>
    <cellStyle name="Currency [00]" xfId="83"/>
    <cellStyle name="Currency 2" xfId="84"/>
    <cellStyle name="Currency[2]" xfId="85"/>
    <cellStyle name="Currency0" xfId="86"/>
    <cellStyle name="custom" xfId="87"/>
    <cellStyle name="date" xfId="88"/>
    <cellStyle name="Date Short" xfId="89"/>
    <cellStyle name="Date_52DU0023_DMRN" xfId="90"/>
    <cellStyle name="DELTA" xfId="91"/>
    <cellStyle name="Dezimal [0]_Data" xfId="92"/>
    <cellStyle name="Dezimal_Data" xfId="93"/>
    <cellStyle name="DOH" xfId="94"/>
    <cellStyle name="Dollar" xfId="95"/>
    <cellStyle name="Dollar0Decimals" xfId="96"/>
    <cellStyle name="Dollar2Decimals" xfId="97"/>
    <cellStyle name="e" xfId="98"/>
    <cellStyle name="Enter Currency (0)" xfId="99"/>
    <cellStyle name="Enter Currency (2)" xfId="100"/>
    <cellStyle name="Enter Units (0)" xfId="101"/>
    <cellStyle name="Enter Units (1)" xfId="102"/>
    <cellStyle name="Enter Units (2)" xfId="103"/>
    <cellStyle name="Excel Built-in Normal" xfId="104"/>
    <cellStyle name="Excel Built-in Normal 2" xfId="105"/>
    <cellStyle name="Explanatory Text 2" xfId="340"/>
    <cellStyle name="Fecha" xfId="106"/>
    <cellStyle name="Fijo" xfId="107"/>
    <cellStyle name="Fixed" xfId="108"/>
    <cellStyle name="Good 2" xfId="341"/>
    <cellStyle name="Grey" xfId="109"/>
    <cellStyle name="HEADER" xfId="110"/>
    <cellStyle name="Header1" xfId="111"/>
    <cellStyle name="Header2" xfId="112"/>
    <cellStyle name="Heading 1 2" xfId="342"/>
    <cellStyle name="Heading 2 2" xfId="343"/>
    <cellStyle name="Heading 2 3" xfId="303"/>
    <cellStyle name="Heading 3 2" xfId="344"/>
    <cellStyle name="Heading 4 2" xfId="345"/>
    <cellStyle name="Hyperlink 2" xfId="304"/>
    <cellStyle name="Hyperlink 3" xfId="305"/>
    <cellStyle name="Input [yellow]" xfId="113"/>
    <cellStyle name="Input 2" xfId="346"/>
    <cellStyle name="Inputs" xfId="114"/>
    <cellStyle name="Lien hypertexte" xfId="115"/>
    <cellStyle name="Lien hypertexte visité" xfId="116"/>
    <cellStyle name="Link Currency (0)" xfId="117"/>
    <cellStyle name="Link Currency (2)" xfId="118"/>
    <cellStyle name="Link Units (0)" xfId="119"/>
    <cellStyle name="Link Units (1)" xfId="120"/>
    <cellStyle name="Link Units (2)" xfId="121"/>
    <cellStyle name="Linked Cell 2" xfId="347"/>
    <cellStyle name="Migliaia (0)_01-01 Sbozzato 7729348" xfId="122"/>
    <cellStyle name="Millares_DIM" xfId="123"/>
    <cellStyle name="Milliers [0]_!!!GO" xfId="124"/>
    <cellStyle name="Milliers_!!!GO" xfId="125"/>
    <cellStyle name="Model" xfId="126"/>
    <cellStyle name="Moeda [0]_Inventário" xfId="348"/>
    <cellStyle name="Moeda_Inventário" xfId="349"/>
    <cellStyle name="Moneda_DIM" xfId="127"/>
    <cellStyle name="Monétaire [0]_!!!GO" xfId="128"/>
    <cellStyle name="Monétaire_!!!GO" xfId="129"/>
    <cellStyle name="Monetario0" xfId="130"/>
    <cellStyle name="Mon騁aire [0]_AR1194" xfId="131"/>
    <cellStyle name="Mon騁aire_AR1194" xfId="132"/>
    <cellStyle name="Multiple" xfId="133"/>
    <cellStyle name="Name" xfId="134"/>
    <cellStyle name="Neutral 2" xfId="350"/>
    <cellStyle name="NewAcct" xfId="135"/>
    <cellStyle name="no dec" xfId="136"/>
    <cellStyle name="Normal" xfId="0" builtinId="0"/>
    <cellStyle name="Normal - Style1" xfId="137"/>
    <cellStyle name="Normal (B)" xfId="138"/>
    <cellStyle name="Normal (G)" xfId="139"/>
    <cellStyle name="Normal 10" xfId="140"/>
    <cellStyle name="Normal 11" xfId="141"/>
    <cellStyle name="Normal 12" xfId="142"/>
    <cellStyle name="Normal 13" xfId="143"/>
    <cellStyle name="Normal 14" xfId="144"/>
    <cellStyle name="Normal 15" xfId="145"/>
    <cellStyle name="Normal 16" xfId="146"/>
    <cellStyle name="Normal 17" xfId="147"/>
    <cellStyle name="Normal 18" xfId="148"/>
    <cellStyle name="Normal 19" xfId="149"/>
    <cellStyle name="Normal 2" xfId="150"/>
    <cellStyle name="Normal 2 10" xfId="151"/>
    <cellStyle name="Normal 2 11" xfId="152"/>
    <cellStyle name="Normal 2 12" xfId="153"/>
    <cellStyle name="Normal 2 13" xfId="154"/>
    <cellStyle name="Normal 2 14" xfId="155"/>
    <cellStyle name="Normal 2 15" xfId="156"/>
    <cellStyle name="Normal 2 16" xfId="157"/>
    <cellStyle name="Normal 2 17" xfId="158"/>
    <cellStyle name="Normal 2 18" xfId="159"/>
    <cellStyle name="Normal 2 19" xfId="160"/>
    <cellStyle name="Normal 2 2" xfId="161"/>
    <cellStyle name="Normal 2 3" xfId="162"/>
    <cellStyle name="Normal 2 4" xfId="163"/>
    <cellStyle name="Normal 2 5" xfId="164"/>
    <cellStyle name="Normal 2 6" xfId="165"/>
    <cellStyle name="Normal 2 7" xfId="166"/>
    <cellStyle name="Normal 2 8" xfId="167"/>
    <cellStyle name="Normal 2 9" xfId="168"/>
    <cellStyle name="Normal 2_Summary" xfId="169"/>
    <cellStyle name="Normal 20" xfId="170"/>
    <cellStyle name="Normal 21" xfId="171"/>
    <cellStyle name="Normal 22" xfId="172"/>
    <cellStyle name="Normal 23" xfId="173"/>
    <cellStyle name="Normal 24" xfId="174"/>
    <cellStyle name="Normal 25" xfId="175"/>
    <cellStyle name="Normal 26" xfId="176"/>
    <cellStyle name="Normal 27" xfId="177"/>
    <cellStyle name="Normal 28" xfId="178"/>
    <cellStyle name="Normal 29" xfId="2"/>
    <cellStyle name="Normal 29 2" xfId="179"/>
    <cellStyle name="Normal 3" xfId="180"/>
    <cellStyle name="Normal 3 2" xfId="302"/>
    <cellStyle name="Normal 30" xfId="1"/>
    <cellStyle name="Normal 30 2" xfId="181"/>
    <cellStyle name="Normal 30 4" xfId="182"/>
    <cellStyle name="Normal 31" xfId="183"/>
    <cellStyle name="Normal 31 2" xfId="184"/>
    <cellStyle name="Normal 32" xfId="185"/>
    <cellStyle name="Normal 32 2" xfId="186"/>
    <cellStyle name="Normal 32 3" xfId="187"/>
    <cellStyle name="Normal 33" xfId="188"/>
    <cellStyle name="Normal 33 2" xfId="299"/>
    <cellStyle name="Normal 33 2 2" xfId="300"/>
    <cellStyle name="Normal 34" xfId="189"/>
    <cellStyle name="Normal 35" xfId="190"/>
    <cellStyle name="Normal 35 2" xfId="191"/>
    <cellStyle name="Normal 35 2 2" xfId="192"/>
    <cellStyle name="Normal 36" xfId="193"/>
    <cellStyle name="Normal 36 2" xfId="351"/>
    <cellStyle name="Normal 37" xfId="309"/>
    <cellStyle name="Normal 37 2" xfId="310"/>
    <cellStyle name="Normal 4" xfId="194"/>
    <cellStyle name="Normal 4 2" xfId="195"/>
    <cellStyle name="Normal 5" xfId="196"/>
    <cellStyle name="Normal 5 2" xfId="197"/>
    <cellStyle name="Normal 5 3" xfId="301"/>
    <cellStyle name="Normal 6" xfId="198"/>
    <cellStyle name="Normal 7" xfId="199"/>
    <cellStyle name="Normal 8" xfId="200"/>
    <cellStyle name="Normal 9" xfId="201"/>
    <cellStyle name="Normal_Sheet2" xfId="202"/>
    <cellStyle name="Normale_Copia di PSW" xfId="203"/>
    <cellStyle name="Note 2" xfId="352"/>
    <cellStyle name="Œ…‹æØ‚è [0.00]_!!!GO" xfId="204"/>
    <cellStyle name="Œ…‹æØ‚è_!!!GO" xfId="205"/>
    <cellStyle name="Output 2" xfId="353"/>
    <cellStyle name="per.style" xfId="206"/>
    <cellStyle name="Percent (M)" xfId="207"/>
    <cellStyle name="Percent [0]" xfId="208"/>
    <cellStyle name="Percent [00]" xfId="209"/>
    <cellStyle name="Percent [2]" xfId="210"/>
    <cellStyle name="Percent 2" xfId="211"/>
    <cellStyle name="Percent[0]" xfId="212"/>
    <cellStyle name="Percent[2]" xfId="213"/>
    <cellStyle name="Plain2Decimals" xfId="214"/>
    <cellStyle name="PlainDollar" xfId="215"/>
    <cellStyle name="PlainDollarBoldwBorders" xfId="216"/>
    <cellStyle name="PlainDollardBLUndLine" xfId="217"/>
    <cellStyle name="PlainDollarSS" xfId="218"/>
    <cellStyle name="PlainDollarUndLine" xfId="219"/>
    <cellStyle name="Porcentual_DIM" xfId="220"/>
    <cellStyle name="PrePop Currency (0)" xfId="221"/>
    <cellStyle name="PrePop Currency (2)" xfId="222"/>
    <cellStyle name="PrePop Units (0)" xfId="223"/>
    <cellStyle name="PrePop Units (1)" xfId="224"/>
    <cellStyle name="PrePop Units (2)" xfId="225"/>
    <cellStyle name="PSChar" xfId="226"/>
    <cellStyle name="PSDate" xfId="227"/>
    <cellStyle name="PSDec" xfId="228"/>
    <cellStyle name="PSHeading" xfId="229"/>
    <cellStyle name="PSInt" xfId="230"/>
    <cellStyle name="PSSpacer" xfId="231"/>
    <cellStyle name="Punto0" xfId="232"/>
    <cellStyle name="R(0)" xfId="233"/>
    <cellStyle name="ScratchPad" xfId="234"/>
    <cellStyle name="SSComma0" xfId="235"/>
    <cellStyle name="SSComma2" xfId="236"/>
    <cellStyle name="SSDecs3" xfId="237"/>
    <cellStyle name="SSDflt" xfId="238"/>
    <cellStyle name="SSDfltPct" xfId="239"/>
    <cellStyle name="SSDfltPct0" xfId="240"/>
    <cellStyle name="SSFixed2" xfId="241"/>
    <cellStyle name="Standard_Data" xfId="242"/>
    <cellStyle name="STYL1 - Style1" xfId="243"/>
    <cellStyle name="STYL2 - Style2" xfId="244"/>
    <cellStyle name="STYL3 - Style3" xfId="245"/>
    <cellStyle name="STYL4 - Style4" xfId="246"/>
    <cellStyle name="STYL5 - Style5" xfId="247"/>
    <cellStyle name="Style 1" xfId="248"/>
    <cellStyle name="subhead" xfId="249"/>
    <cellStyle name="Text" xfId="250"/>
    <cellStyle name="Text Indent A" xfId="251"/>
    <cellStyle name="Text Indent B" xfId="252"/>
    <cellStyle name="Text Indent C" xfId="253"/>
    <cellStyle name="Title 2" xfId="354"/>
    <cellStyle name="Total 2" xfId="355"/>
    <cellStyle name="UnderLine" xfId="254"/>
    <cellStyle name="Unit" xfId="255"/>
    <cellStyle name="Untitled1" xfId="306"/>
    <cellStyle name="Untitled2" xfId="307"/>
    <cellStyle name="Untitled3" xfId="308"/>
    <cellStyle name="Update" xfId="256"/>
    <cellStyle name="Valuta (0)_01-01 Sbozzato 7729348" xfId="257"/>
    <cellStyle name="Valuta_VERA" xfId="258"/>
    <cellStyle name="Währung [0]_Data" xfId="259"/>
    <cellStyle name="Währung_Data" xfId="260"/>
    <cellStyle name="Warning Text 2" xfId="356"/>
    <cellStyle name="years" xfId="261"/>
    <cellStyle name="เซลล์ตรวจสอบ" xfId="262"/>
    <cellStyle name="เซลล์ที่มีการเชื่อมโยง" xfId="263"/>
    <cellStyle name="แย่" xfId="264"/>
    <cellStyle name="แสดงผล" xfId="265"/>
    <cellStyle name="การคำนวณ" xfId="266"/>
    <cellStyle name="ข้อความเตือน" xfId="267"/>
    <cellStyle name="ข้อความอธิบาย" xfId="268"/>
    <cellStyle name="ชื่อเรื่อง" xfId="269"/>
    <cellStyle name="ดี" xfId="270"/>
    <cellStyle name="ปกติ 2" xfId="271"/>
    <cellStyle name="ปกติ 3" xfId="272"/>
    <cellStyle name="ปกติ 5" xfId="273"/>
    <cellStyle name="ปกติ 6" xfId="274"/>
    <cellStyle name="ปกติ 7" xfId="275"/>
    <cellStyle name="ปกติ 8" xfId="276"/>
    <cellStyle name="ปกติ_QUOTATION FOR CMBR FR CHINA PROJ" xfId="277"/>
    <cellStyle name="ป้อนค่า" xfId="278"/>
    <cellStyle name="ปานกลาง" xfId="279"/>
    <cellStyle name="ผลรวม" xfId="280"/>
    <cellStyle name="ส่วนที่ถูกเน้น1" xfId="281"/>
    <cellStyle name="ส่วนที่ถูกเน้น2" xfId="282"/>
    <cellStyle name="ส่วนที่ถูกเน้น3" xfId="283"/>
    <cellStyle name="ส่วนที่ถูกเน้น4" xfId="284"/>
    <cellStyle name="ส่วนที่ถูกเน้น5" xfId="285"/>
    <cellStyle name="ส่วนที่ถูกเน้น6" xfId="286"/>
    <cellStyle name="หมายเหตุ" xfId="287"/>
    <cellStyle name="หัวเรื่อง 1" xfId="288"/>
    <cellStyle name="หัวเรื่อง 2" xfId="289"/>
    <cellStyle name="หัวเรื่อง 3" xfId="290"/>
    <cellStyle name="หัวเรื่อง 4" xfId="291"/>
    <cellStyle name="콤마_95" xfId="292"/>
    <cellStyle name="표준_345 BOM" xfId="293"/>
    <cellStyle name="桁区切り [0.00]_2.6 - PFMEA" xfId="294"/>
    <cellStyle name="桁区切り_2.6 - PFMEA" xfId="295"/>
    <cellStyle name="標準_2.6 - PFMEA" xfId="296"/>
    <cellStyle name="通貨 [0.00]_2.6 - PFMEA" xfId="297"/>
    <cellStyle name="通貨_2.6 - PFMEA" xfId="29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HISTOGRAM</a:t>
            </a:r>
          </a:p>
        </c:rich>
      </c:tx>
      <c:layout>
        <c:manualLayout>
          <c:xMode val="edge"/>
          <c:yMode val="edge"/>
          <c:x val="0.4573651839486309"/>
          <c:y val="0.10199031091262846"/>
        </c:manualLayout>
      </c:layout>
      <c:spPr>
        <a:solidFill>
          <a:srgbClr val="FFFFFF"/>
        </a:solidFill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209325432498828"/>
          <c:y val="0.19154275386435471"/>
          <c:w val="0.80620307617769682"/>
          <c:h val="0.6393050356251907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SPC_252709140196!$O$20:$P$31</c:f>
              <c:multiLvlStrCache>
                <c:ptCount val="12"/>
                <c:lvl>
                  <c:pt idx="0">
                    <c:v>135.4932</c:v>
                  </c:pt>
                  <c:pt idx="1">
                    <c:v>135.6466</c:v>
                  </c:pt>
                  <c:pt idx="2">
                    <c:v>135.8000</c:v>
                  </c:pt>
                  <c:pt idx="3">
                    <c:v>135.9534</c:v>
                  </c:pt>
                  <c:pt idx="4">
                    <c:v>136.1068</c:v>
                  </c:pt>
                  <c:pt idx="5">
                    <c:v>136.2602</c:v>
                  </c:pt>
                  <c:pt idx="6">
                    <c:v>136.4136</c:v>
                  </c:pt>
                  <c:pt idx="7">
                    <c:v>136.5670</c:v>
                  </c:pt>
                  <c:pt idx="8">
                    <c:v>136.7204</c:v>
                  </c:pt>
                  <c:pt idx="9">
                    <c:v>136.8738</c:v>
                  </c:pt>
                  <c:pt idx="10">
                    <c:v>137.0272</c:v>
                  </c:pt>
                  <c:pt idx="11">
                    <c:v>137.1806</c:v>
                  </c:pt>
                </c:lvl>
                <c:lvl>
                  <c:pt idx="0">
                    <c:v>135.3398</c:v>
                  </c:pt>
                  <c:pt idx="1">
                    <c:v>135.4932</c:v>
                  </c:pt>
                  <c:pt idx="2">
                    <c:v>135.6466</c:v>
                  </c:pt>
                  <c:pt idx="3">
                    <c:v>135.8000</c:v>
                  </c:pt>
                  <c:pt idx="4">
                    <c:v>135.9534</c:v>
                  </c:pt>
                  <c:pt idx="5">
                    <c:v>136.1068</c:v>
                  </c:pt>
                  <c:pt idx="6">
                    <c:v>136.2602</c:v>
                  </c:pt>
                  <c:pt idx="7">
                    <c:v>136.4136</c:v>
                  </c:pt>
                  <c:pt idx="8">
                    <c:v>136.5670</c:v>
                  </c:pt>
                  <c:pt idx="9">
                    <c:v>136.7204</c:v>
                  </c:pt>
                  <c:pt idx="10">
                    <c:v>136.8738</c:v>
                  </c:pt>
                  <c:pt idx="11">
                    <c:v>137.0272</c:v>
                  </c:pt>
                </c:lvl>
              </c:multiLvlStrCache>
            </c:multiLvlStrRef>
          </c:cat>
          <c:val>
            <c:numRef>
              <c:f>SPC_252709140196!$Q$20:$Q$31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11</c:v>
                </c:pt>
                <c:pt idx="4">
                  <c:v>7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106689664"/>
        <c:axId val="106691200"/>
      </c:barChart>
      <c:catAx>
        <c:axId val="106689664"/>
        <c:scaling>
          <c:orientation val="minMax"/>
        </c:scaling>
        <c:axPos val="b"/>
        <c:numFmt formatCode="General" sourceLinked="1"/>
        <c:majorTickMark val="none"/>
        <c:minorTickMark val="in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91200"/>
        <c:crossesAt val="0"/>
        <c:auto val="1"/>
        <c:lblAlgn val="ctr"/>
        <c:lblOffset val="100"/>
        <c:tickLblSkip val="2"/>
        <c:tickMarkSkip val="1"/>
      </c:catAx>
      <c:valAx>
        <c:axId val="106691200"/>
        <c:scaling>
          <c:orientation val="minMax"/>
        </c:scaling>
        <c:axPos val="l"/>
        <c:numFmt formatCode="General" sourceLinked="1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8966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22" r="0.75000000000000322" t="1" header="0.51180555555555562" footer="0.51180555555555562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R- CHART</a:t>
            </a:r>
          </a:p>
        </c:rich>
      </c:tx>
      <c:layout>
        <c:manualLayout>
          <c:xMode val="edge"/>
          <c:yMode val="edge"/>
          <c:x val="0.3758872694104754"/>
          <c:y val="0.19306982666770614"/>
        </c:manualLayout>
      </c:layout>
      <c:spPr>
        <a:solidFill>
          <a:srgbClr val="FFFFFF"/>
        </a:solidFill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8439758883160931"/>
          <c:y val="0.37623853321891731"/>
          <c:w val="0.64302748925894204"/>
          <c:h val="0.46534765950760831"/>
        </c:manualLayout>
      </c:layout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SPC_252709140196!$B$17:$K$17</c:f>
              <c:numCache>
                <c:formatCode>0.000</c:formatCode>
                <c:ptCount val="10"/>
                <c:pt idx="0">
                  <c:v>0.45999999999997954</c:v>
                </c:pt>
                <c:pt idx="1">
                  <c:v>0.45999999999997954</c:v>
                </c:pt>
                <c:pt idx="2">
                  <c:v>0.45999999999997954</c:v>
                </c:pt>
                <c:pt idx="3">
                  <c:v>0.37999999999999545</c:v>
                </c:pt>
                <c:pt idx="4">
                  <c:v>0.39999999999997726</c:v>
                </c:pt>
                <c:pt idx="5">
                  <c:v>0.28000000000000114</c:v>
                </c:pt>
                <c:pt idx="6">
                  <c:v>0.34000000000000341</c:v>
                </c:pt>
                <c:pt idx="7">
                  <c:v>0.45999999999997954</c:v>
                </c:pt>
                <c:pt idx="8">
                  <c:v>0.34000000000000341</c:v>
                </c:pt>
                <c:pt idx="9">
                  <c:v>0.39999999999997726</c:v>
                </c:pt>
              </c:numCache>
            </c:numRef>
          </c:val>
        </c:ser>
        <c:ser>
          <c:idx val="1"/>
          <c:order val="1"/>
          <c:spPr>
            <a:ln w="3175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SPC_252709140196!$U$34:$AD$34</c:f>
              <c:numCache>
                <c:formatCode>@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spPr>
            <a:ln w="3175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SPC_252709140196!$U$35:$AD$35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spPr>
            <a:ln w="3175">
              <a:solidFill>
                <a:srgbClr val="00FFFF"/>
              </a:solidFill>
              <a:prstDash val="solid"/>
            </a:ln>
          </c:spPr>
          <c:marker>
            <c:symbol val="none"/>
          </c:marker>
          <c:val>
            <c:numRef>
              <c:f>SPC_252709140196!$U$17:$AD$17</c:f>
              <c:numCache>
                <c:formatCode>0.00000</c:formatCode>
                <c:ptCount val="10"/>
              </c:numCache>
            </c:numRef>
          </c:val>
        </c:ser>
        <c:ser>
          <c:idx val="4"/>
          <c:order val="4"/>
          <c:tx>
            <c:strRef>
              <c:f>SPC_252709140196!$T$30</c:f>
              <c:strCache>
                <c:ptCount val="1"/>
                <c:pt idx="0">
                  <c:v>R - Bar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SPC_252709140196!$U$30:$AD$30</c:f>
              <c:numCache>
                <c:formatCode>0.00000</c:formatCode>
                <c:ptCount val="10"/>
                <c:pt idx="0">
                  <c:v>0.39799999999998759</c:v>
                </c:pt>
                <c:pt idx="1">
                  <c:v>0.39799999999998759</c:v>
                </c:pt>
                <c:pt idx="2">
                  <c:v>0.39799999999998759</c:v>
                </c:pt>
                <c:pt idx="3">
                  <c:v>0.39799999999998759</c:v>
                </c:pt>
                <c:pt idx="4">
                  <c:v>0.39799999999998759</c:v>
                </c:pt>
                <c:pt idx="5">
                  <c:v>0.39799999999998759</c:v>
                </c:pt>
                <c:pt idx="6">
                  <c:v>0.39799999999998759</c:v>
                </c:pt>
                <c:pt idx="7">
                  <c:v>0.39799999999998759</c:v>
                </c:pt>
                <c:pt idx="8">
                  <c:v>0.39799999999998759</c:v>
                </c:pt>
                <c:pt idx="9">
                  <c:v>0.39799999999998759</c:v>
                </c:pt>
              </c:numCache>
            </c:numRef>
          </c:val>
        </c:ser>
        <c:marker val="1"/>
        <c:axId val="106591360"/>
        <c:axId val="106592896"/>
      </c:lineChart>
      <c:catAx>
        <c:axId val="10659136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592896"/>
        <c:crossesAt val="0"/>
        <c:auto val="1"/>
        <c:lblAlgn val="ctr"/>
        <c:lblOffset val="100"/>
        <c:tickLblSkip val="1"/>
        <c:tickMarkSkip val="1"/>
      </c:catAx>
      <c:valAx>
        <c:axId val="106592896"/>
        <c:scaling>
          <c:orientation val="minMax"/>
        </c:scaling>
        <c:axPos val="l"/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550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591360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0283836860818296"/>
          <c:y val="0.24257477716275563"/>
          <c:w val="0.15602861699025161"/>
          <c:h val="0.27722824250929035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22" r="0.75000000000000322" t="1" header="0.51180555555555562" footer="0.5118055555555556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X-CHART</a:t>
            </a:r>
          </a:p>
        </c:rich>
      </c:tx>
      <c:layout>
        <c:manualLayout>
          <c:xMode val="edge"/>
          <c:yMode val="edge"/>
          <c:x val="0.37825158380025375"/>
          <c:y val="0.2"/>
        </c:manualLayout>
      </c:layout>
      <c:spPr>
        <a:solidFill>
          <a:srgbClr val="FFFFFF"/>
        </a:solidFill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1749459195523169"/>
          <c:y val="0.36500000000000032"/>
          <c:w val="0.64302748925894204"/>
          <c:h val="0.49500000000000038"/>
        </c:manualLayout>
      </c:layout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SPC_252709140196!$B$18:$K$18</c:f>
              <c:numCache>
                <c:formatCode>0.000</c:formatCode>
                <c:ptCount val="10"/>
                <c:pt idx="0">
                  <c:v>135.97999999999999</c:v>
                </c:pt>
                <c:pt idx="1">
                  <c:v>136.00399999999996</c:v>
                </c:pt>
                <c:pt idx="2">
                  <c:v>136.012</c:v>
                </c:pt>
                <c:pt idx="3">
                  <c:v>135.98400000000001</c:v>
                </c:pt>
                <c:pt idx="4">
                  <c:v>136.00799999999998</c:v>
                </c:pt>
                <c:pt idx="5">
                  <c:v>136.10399999999998</c:v>
                </c:pt>
                <c:pt idx="6">
                  <c:v>136.11599999999999</c:v>
                </c:pt>
                <c:pt idx="7">
                  <c:v>136.05199999999999</c:v>
                </c:pt>
                <c:pt idx="8">
                  <c:v>136.09200000000001</c:v>
                </c:pt>
                <c:pt idx="9">
                  <c:v>136.06399999999999</c:v>
                </c:pt>
              </c:numCache>
            </c:numRef>
          </c:val>
          <c:smooth val="1"/>
        </c:ser>
        <c:ser>
          <c:idx val="1"/>
          <c:order val="1"/>
          <c:spPr>
            <a:ln w="3175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SPC_252709140196!$U$32:$AD$32</c:f>
              <c:numCache>
                <c:formatCode>General</c:formatCode>
                <c:ptCount val="10"/>
                <c:pt idx="0">
                  <c:v>136.04159999999999</c:v>
                </c:pt>
                <c:pt idx="1">
                  <c:v>136.04159999999999</c:v>
                </c:pt>
                <c:pt idx="2">
                  <c:v>136.04159999999999</c:v>
                </c:pt>
                <c:pt idx="3">
                  <c:v>136.04159999999999</c:v>
                </c:pt>
                <c:pt idx="4">
                  <c:v>136.04159999999999</c:v>
                </c:pt>
                <c:pt idx="5">
                  <c:v>136.04159999999999</c:v>
                </c:pt>
                <c:pt idx="6">
                  <c:v>136.04159999999999</c:v>
                </c:pt>
                <c:pt idx="7">
                  <c:v>136.04159999999999</c:v>
                </c:pt>
                <c:pt idx="8">
                  <c:v>136.04159999999999</c:v>
                </c:pt>
                <c:pt idx="9">
                  <c:v>136.04159999999999</c:v>
                </c:pt>
              </c:numCache>
            </c:numRef>
          </c:val>
          <c:smooth val="1"/>
        </c:ser>
        <c:ser>
          <c:idx val="2"/>
          <c:order val="2"/>
          <c:spPr>
            <a:ln w="3175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SPC_252709140196!$U$33:$AD$33</c:f>
              <c:numCache>
                <c:formatCode>0.00000</c:formatCode>
                <c:ptCount val="10"/>
                <c:pt idx="0">
                  <c:v>136.04159999999999</c:v>
                </c:pt>
                <c:pt idx="1">
                  <c:v>136.04159999999999</c:v>
                </c:pt>
                <c:pt idx="2">
                  <c:v>136.04159999999999</c:v>
                </c:pt>
                <c:pt idx="3">
                  <c:v>136.04159999999999</c:v>
                </c:pt>
                <c:pt idx="4">
                  <c:v>136.04159999999999</c:v>
                </c:pt>
                <c:pt idx="5">
                  <c:v>136.04159999999999</c:v>
                </c:pt>
                <c:pt idx="6">
                  <c:v>136.04159999999999</c:v>
                </c:pt>
                <c:pt idx="7">
                  <c:v>136.04159999999999</c:v>
                </c:pt>
                <c:pt idx="8">
                  <c:v>136.04159999999999</c:v>
                </c:pt>
                <c:pt idx="9">
                  <c:v>136.04159999999999</c:v>
                </c:pt>
              </c:numCache>
            </c:numRef>
          </c:val>
          <c:smooth val="1"/>
        </c:ser>
        <c:ser>
          <c:idx val="3"/>
          <c:order val="3"/>
          <c:spPr>
            <a:ln w="3175">
              <a:solidFill>
                <a:srgbClr val="00FFFF"/>
              </a:solidFill>
              <a:prstDash val="solid"/>
            </a:ln>
          </c:spPr>
          <c:marker>
            <c:symbol val="none"/>
          </c:marker>
          <c:val>
            <c:numRef>
              <c:f>SPC_252709140196!$U$18:$AD$18</c:f>
              <c:numCache>
                <c:formatCode>0.0000</c:formatCode>
                <c:ptCount val="10"/>
              </c:numCache>
            </c:numRef>
          </c:val>
          <c:smooth val="1"/>
        </c:ser>
        <c:ser>
          <c:idx val="4"/>
          <c:order val="4"/>
          <c:tx>
            <c:strRef>
              <c:f>SPC_252709140196!$T$31</c:f>
              <c:strCache>
                <c:ptCount val="1"/>
                <c:pt idx="0">
                  <c:v>X - Bar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SPC_252709140196!$U$31:$AD$31</c:f>
              <c:numCache>
                <c:formatCode>0.0000</c:formatCode>
                <c:ptCount val="10"/>
                <c:pt idx="0">
                  <c:v>136.04159999999999</c:v>
                </c:pt>
                <c:pt idx="1">
                  <c:v>136.04159999999999</c:v>
                </c:pt>
                <c:pt idx="2">
                  <c:v>136.04159999999999</c:v>
                </c:pt>
                <c:pt idx="3">
                  <c:v>136.04159999999999</c:v>
                </c:pt>
                <c:pt idx="4">
                  <c:v>136.04159999999999</c:v>
                </c:pt>
                <c:pt idx="5">
                  <c:v>136.04159999999999</c:v>
                </c:pt>
                <c:pt idx="6">
                  <c:v>136.04159999999999</c:v>
                </c:pt>
                <c:pt idx="7">
                  <c:v>136.04159999999999</c:v>
                </c:pt>
                <c:pt idx="8">
                  <c:v>136.04159999999999</c:v>
                </c:pt>
                <c:pt idx="9">
                  <c:v>136.04159999999999</c:v>
                </c:pt>
              </c:numCache>
            </c:numRef>
          </c:val>
          <c:smooth val="1"/>
        </c:ser>
        <c:marker val="1"/>
        <c:axId val="105793024"/>
        <c:axId val="105794560"/>
      </c:lineChart>
      <c:catAx>
        <c:axId val="1057930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94560"/>
        <c:crossesAt val="0"/>
        <c:auto val="1"/>
        <c:lblAlgn val="ctr"/>
        <c:lblOffset val="100"/>
        <c:tickLblSkip val="1"/>
        <c:tickMarkSkip val="1"/>
      </c:catAx>
      <c:valAx>
        <c:axId val="105794560"/>
        <c:scaling>
          <c:orientation val="minMax"/>
        </c:scaling>
        <c:axPos val="l"/>
        <c:numFmt formatCode="0.0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93024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1229463338360046"/>
          <c:y val="0.25"/>
          <c:w val="0.15602861699025206"/>
          <c:h val="0.2800000000000000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22" r="0.75000000000000322" t="1" header="0.51180555555555562" footer="0.51180555555555562"/>
    <c:pageSetup firstPageNumber="0"/>
  </c:printSettings>
</c:chartSpac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2</xdr:row>
      <xdr:rowOff>0</xdr:rowOff>
    </xdr:from>
    <xdr:to>
      <xdr:col>2</xdr:col>
      <xdr:colOff>1428750</xdr:colOff>
      <xdr:row>5</xdr:row>
      <xdr:rowOff>38100</xdr:rowOff>
    </xdr:to>
    <xdr:sp macro="" textlink="">
      <xdr:nvSpPr>
        <xdr:cNvPr id="2" name="WordArt 1"/>
        <xdr:cNvSpPr>
          <a:spLocks noChangeArrowheads="1" noChangeShapeType="1" noTextEdit="1"/>
        </xdr:cNvSpPr>
      </xdr:nvSpPr>
      <xdr:spPr bwMode="auto">
        <a:xfrm>
          <a:off x="1590674" y="495300"/>
          <a:ext cx="2171701" cy="7810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3333CC"/>
                </a:solidFill>
                <a:round/>
                <a:headEnd/>
                <a:tailEnd/>
              </a:ln>
              <a:solidFill>
                <a:srgbClr val="B2B2B2">
                  <a:alpha val="50000"/>
                </a:srgbClr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PPAP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57148</xdr:colOff>
      <xdr:row>9</xdr:row>
      <xdr:rowOff>0</xdr:rowOff>
    </xdr:from>
    <xdr:to>
      <xdr:col>2</xdr:col>
      <xdr:colOff>1828799</xdr:colOff>
      <xdr:row>11</xdr:row>
      <xdr:rowOff>247649</xdr:rowOff>
    </xdr:to>
    <xdr:sp macro="" textlink="">
      <xdr:nvSpPr>
        <xdr:cNvPr id="2" name="WordArt 1"/>
        <xdr:cNvSpPr>
          <a:spLocks noChangeArrowheads="1" noChangeShapeType="1" noTextEdit="1"/>
        </xdr:cNvSpPr>
      </xdr:nvSpPr>
      <xdr:spPr bwMode="auto">
        <a:xfrm>
          <a:off x="1590673" y="2228850"/>
          <a:ext cx="2571751" cy="74294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3333CC"/>
                </a:solidFill>
                <a:round/>
                <a:headEnd/>
                <a:tailEnd/>
              </a:ln>
              <a:solidFill>
                <a:srgbClr val="B2B2B2">
                  <a:alpha val="50000"/>
                </a:srgbClr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PPAP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35</xdr:row>
      <xdr:rowOff>38100</xdr:rowOff>
    </xdr:from>
    <xdr:to>
      <xdr:col>4</xdr:col>
      <xdr:colOff>390525</xdr:colOff>
      <xdr:row>36</xdr:row>
      <xdr:rowOff>85725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6781800" y="19126200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35</xdr:row>
      <xdr:rowOff>114300</xdr:rowOff>
    </xdr:from>
    <xdr:to>
      <xdr:col>1</xdr:col>
      <xdr:colOff>495300</xdr:colOff>
      <xdr:row>36</xdr:row>
      <xdr:rowOff>133350</xdr:rowOff>
    </xdr:to>
    <xdr:sp macro="" textlink="">
      <xdr:nvSpPr>
        <xdr:cNvPr id="3" name="Rectangle 4"/>
        <xdr:cNvSpPr>
          <a:spLocks noChangeArrowheads="1"/>
        </xdr:cNvSpPr>
      </xdr:nvSpPr>
      <xdr:spPr bwMode="auto">
        <a:xfrm>
          <a:off x="1800225" y="19202400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35</xdr:row>
      <xdr:rowOff>47625</xdr:rowOff>
    </xdr:from>
    <xdr:to>
      <xdr:col>2</xdr:col>
      <xdr:colOff>419100</xdr:colOff>
      <xdr:row>36</xdr:row>
      <xdr:rowOff>104775</xdr:rowOff>
    </xdr:to>
    <xdr:sp macro="" textlink="">
      <xdr:nvSpPr>
        <xdr:cNvPr id="4" name="Oval 6"/>
        <xdr:cNvSpPr>
          <a:spLocks noChangeArrowheads="1"/>
        </xdr:cNvSpPr>
      </xdr:nvSpPr>
      <xdr:spPr bwMode="auto">
        <a:xfrm>
          <a:off x="3600450" y="19135725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35</xdr:row>
      <xdr:rowOff>95250</xdr:rowOff>
    </xdr:from>
    <xdr:to>
      <xdr:col>3</xdr:col>
      <xdr:colOff>457200</xdr:colOff>
      <xdr:row>36</xdr:row>
      <xdr:rowOff>114300</xdr:rowOff>
    </xdr:to>
    <xdr:grpSp>
      <xdr:nvGrpSpPr>
        <xdr:cNvPr id="5" name="Group 2"/>
        <xdr:cNvGrpSpPr>
          <a:grpSpLocks/>
        </xdr:cNvGrpSpPr>
      </xdr:nvGrpSpPr>
      <xdr:grpSpPr bwMode="auto">
        <a:xfrm>
          <a:off x="5067300" y="12306300"/>
          <a:ext cx="333375" cy="295275"/>
          <a:chOff x="5074151" y="6122100"/>
          <a:chExt cx="212224" cy="239239"/>
        </a:xfrm>
      </xdr:grpSpPr>
      <xdr:sp macro="" textlink="">
        <xdr:nvSpPr>
          <xdr:cNvPr id="6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35</xdr:row>
      <xdr:rowOff>142874</xdr:rowOff>
    </xdr:from>
    <xdr:to>
      <xdr:col>0</xdr:col>
      <xdr:colOff>695328</xdr:colOff>
      <xdr:row>36</xdr:row>
      <xdr:rowOff>104774</xdr:rowOff>
    </xdr:to>
    <xdr:sp macro="" textlink="">
      <xdr:nvSpPr>
        <xdr:cNvPr id="8" name="Down Arrow 7"/>
        <xdr:cNvSpPr/>
      </xdr:nvSpPr>
      <xdr:spPr>
        <a:xfrm rot="16200000">
          <a:off x="261940" y="19035712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66</xdr:row>
      <xdr:rowOff>38100</xdr:rowOff>
    </xdr:from>
    <xdr:to>
      <xdr:col>4</xdr:col>
      <xdr:colOff>390525</xdr:colOff>
      <xdr:row>67</xdr:row>
      <xdr:rowOff>85725</xdr:rowOff>
    </xdr:to>
    <xdr:sp macro="" textlink="">
      <xdr:nvSpPr>
        <xdr:cNvPr id="10" name="AutoShape 3"/>
        <xdr:cNvSpPr>
          <a:spLocks noChangeArrowheads="1"/>
        </xdr:cNvSpPr>
      </xdr:nvSpPr>
      <xdr:spPr bwMode="auto">
        <a:xfrm>
          <a:off x="6781800" y="27470100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66</xdr:row>
      <xdr:rowOff>114300</xdr:rowOff>
    </xdr:from>
    <xdr:to>
      <xdr:col>1</xdr:col>
      <xdr:colOff>495300</xdr:colOff>
      <xdr:row>67</xdr:row>
      <xdr:rowOff>133350</xdr:rowOff>
    </xdr:to>
    <xdr:sp macro="" textlink="">
      <xdr:nvSpPr>
        <xdr:cNvPr id="11" name="Rectangle 4"/>
        <xdr:cNvSpPr>
          <a:spLocks noChangeArrowheads="1"/>
        </xdr:cNvSpPr>
      </xdr:nvSpPr>
      <xdr:spPr bwMode="auto">
        <a:xfrm>
          <a:off x="1800225" y="27546300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66</xdr:row>
      <xdr:rowOff>47625</xdr:rowOff>
    </xdr:from>
    <xdr:to>
      <xdr:col>2</xdr:col>
      <xdr:colOff>419100</xdr:colOff>
      <xdr:row>67</xdr:row>
      <xdr:rowOff>104775</xdr:rowOff>
    </xdr:to>
    <xdr:sp macro="" textlink="">
      <xdr:nvSpPr>
        <xdr:cNvPr id="12" name="Oval 6"/>
        <xdr:cNvSpPr>
          <a:spLocks noChangeArrowheads="1"/>
        </xdr:cNvSpPr>
      </xdr:nvSpPr>
      <xdr:spPr bwMode="auto">
        <a:xfrm>
          <a:off x="3600450" y="27479625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66</xdr:row>
      <xdr:rowOff>95250</xdr:rowOff>
    </xdr:from>
    <xdr:to>
      <xdr:col>3</xdr:col>
      <xdr:colOff>457200</xdr:colOff>
      <xdr:row>67</xdr:row>
      <xdr:rowOff>114300</xdr:rowOff>
    </xdr:to>
    <xdr:grpSp>
      <xdr:nvGrpSpPr>
        <xdr:cNvPr id="13" name="Group 2"/>
        <xdr:cNvGrpSpPr>
          <a:grpSpLocks/>
        </xdr:cNvGrpSpPr>
      </xdr:nvGrpSpPr>
      <xdr:grpSpPr bwMode="auto">
        <a:xfrm>
          <a:off x="5067300" y="21612225"/>
          <a:ext cx="333375" cy="295275"/>
          <a:chOff x="5074151" y="6122100"/>
          <a:chExt cx="212224" cy="239239"/>
        </a:xfrm>
      </xdr:grpSpPr>
      <xdr:sp macro="" textlink="">
        <xdr:nvSpPr>
          <xdr:cNvPr id="14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66</xdr:row>
      <xdr:rowOff>142874</xdr:rowOff>
    </xdr:from>
    <xdr:to>
      <xdr:col>0</xdr:col>
      <xdr:colOff>695328</xdr:colOff>
      <xdr:row>67</xdr:row>
      <xdr:rowOff>104774</xdr:rowOff>
    </xdr:to>
    <xdr:sp macro="" textlink="">
      <xdr:nvSpPr>
        <xdr:cNvPr id="16" name="Down Arrow 15"/>
        <xdr:cNvSpPr/>
      </xdr:nvSpPr>
      <xdr:spPr>
        <a:xfrm rot="16200000">
          <a:off x="261940" y="27379612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156</xdr:row>
      <xdr:rowOff>38100</xdr:rowOff>
    </xdr:from>
    <xdr:to>
      <xdr:col>4</xdr:col>
      <xdr:colOff>390525</xdr:colOff>
      <xdr:row>157</xdr:row>
      <xdr:rowOff>85725</xdr:rowOff>
    </xdr:to>
    <xdr:sp macro="" textlink="">
      <xdr:nvSpPr>
        <xdr:cNvPr id="85" name="AutoShape 3"/>
        <xdr:cNvSpPr>
          <a:spLocks noChangeArrowheads="1"/>
        </xdr:cNvSpPr>
      </xdr:nvSpPr>
      <xdr:spPr bwMode="auto">
        <a:xfrm>
          <a:off x="6781800" y="53844825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156</xdr:row>
      <xdr:rowOff>114300</xdr:rowOff>
    </xdr:from>
    <xdr:to>
      <xdr:col>1</xdr:col>
      <xdr:colOff>495300</xdr:colOff>
      <xdr:row>157</xdr:row>
      <xdr:rowOff>133350</xdr:rowOff>
    </xdr:to>
    <xdr:sp macro="" textlink="">
      <xdr:nvSpPr>
        <xdr:cNvPr id="86" name="Rectangle 4"/>
        <xdr:cNvSpPr>
          <a:spLocks noChangeArrowheads="1"/>
        </xdr:cNvSpPr>
      </xdr:nvSpPr>
      <xdr:spPr bwMode="auto">
        <a:xfrm>
          <a:off x="1800225" y="53921025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156</xdr:row>
      <xdr:rowOff>47625</xdr:rowOff>
    </xdr:from>
    <xdr:to>
      <xdr:col>2</xdr:col>
      <xdr:colOff>419100</xdr:colOff>
      <xdr:row>157</xdr:row>
      <xdr:rowOff>104775</xdr:rowOff>
    </xdr:to>
    <xdr:sp macro="" textlink="">
      <xdr:nvSpPr>
        <xdr:cNvPr id="87" name="Oval 6"/>
        <xdr:cNvSpPr>
          <a:spLocks noChangeArrowheads="1"/>
        </xdr:cNvSpPr>
      </xdr:nvSpPr>
      <xdr:spPr bwMode="auto">
        <a:xfrm>
          <a:off x="3600450" y="53854350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156</xdr:row>
      <xdr:rowOff>95250</xdr:rowOff>
    </xdr:from>
    <xdr:to>
      <xdr:col>3</xdr:col>
      <xdr:colOff>457200</xdr:colOff>
      <xdr:row>157</xdr:row>
      <xdr:rowOff>114300</xdr:rowOff>
    </xdr:to>
    <xdr:grpSp>
      <xdr:nvGrpSpPr>
        <xdr:cNvPr id="88" name="Group 2"/>
        <xdr:cNvGrpSpPr>
          <a:grpSpLocks/>
        </xdr:cNvGrpSpPr>
      </xdr:nvGrpSpPr>
      <xdr:grpSpPr bwMode="auto">
        <a:xfrm>
          <a:off x="5067300" y="48472725"/>
          <a:ext cx="333375" cy="295275"/>
          <a:chOff x="5074151" y="6122100"/>
          <a:chExt cx="212224" cy="239239"/>
        </a:xfrm>
      </xdr:grpSpPr>
      <xdr:sp macro="" textlink="">
        <xdr:nvSpPr>
          <xdr:cNvPr id="89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0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156</xdr:row>
      <xdr:rowOff>142874</xdr:rowOff>
    </xdr:from>
    <xdr:to>
      <xdr:col>0</xdr:col>
      <xdr:colOff>695328</xdr:colOff>
      <xdr:row>157</xdr:row>
      <xdr:rowOff>104774</xdr:rowOff>
    </xdr:to>
    <xdr:sp macro="" textlink="">
      <xdr:nvSpPr>
        <xdr:cNvPr id="91" name="Down Arrow 90"/>
        <xdr:cNvSpPr/>
      </xdr:nvSpPr>
      <xdr:spPr>
        <a:xfrm rot="16200000">
          <a:off x="261940" y="53754337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128</xdr:row>
      <xdr:rowOff>38100</xdr:rowOff>
    </xdr:from>
    <xdr:to>
      <xdr:col>4</xdr:col>
      <xdr:colOff>390525</xdr:colOff>
      <xdr:row>129</xdr:row>
      <xdr:rowOff>85725</xdr:rowOff>
    </xdr:to>
    <xdr:sp macro="" textlink="">
      <xdr:nvSpPr>
        <xdr:cNvPr id="133" name="AutoShape 3"/>
        <xdr:cNvSpPr>
          <a:spLocks noChangeArrowheads="1"/>
        </xdr:cNvSpPr>
      </xdr:nvSpPr>
      <xdr:spPr bwMode="auto">
        <a:xfrm>
          <a:off x="6781800" y="45500925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128</xdr:row>
      <xdr:rowOff>114300</xdr:rowOff>
    </xdr:from>
    <xdr:to>
      <xdr:col>1</xdr:col>
      <xdr:colOff>495300</xdr:colOff>
      <xdr:row>129</xdr:row>
      <xdr:rowOff>133350</xdr:rowOff>
    </xdr:to>
    <xdr:sp macro="" textlink="">
      <xdr:nvSpPr>
        <xdr:cNvPr id="134" name="Rectangle 4"/>
        <xdr:cNvSpPr>
          <a:spLocks noChangeArrowheads="1"/>
        </xdr:cNvSpPr>
      </xdr:nvSpPr>
      <xdr:spPr bwMode="auto">
        <a:xfrm>
          <a:off x="1800225" y="45577125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128</xdr:row>
      <xdr:rowOff>47625</xdr:rowOff>
    </xdr:from>
    <xdr:to>
      <xdr:col>2</xdr:col>
      <xdr:colOff>419100</xdr:colOff>
      <xdr:row>129</xdr:row>
      <xdr:rowOff>104775</xdr:rowOff>
    </xdr:to>
    <xdr:sp macro="" textlink="">
      <xdr:nvSpPr>
        <xdr:cNvPr id="135" name="Oval 6"/>
        <xdr:cNvSpPr>
          <a:spLocks noChangeArrowheads="1"/>
        </xdr:cNvSpPr>
      </xdr:nvSpPr>
      <xdr:spPr bwMode="auto">
        <a:xfrm>
          <a:off x="3600450" y="45510450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128</xdr:row>
      <xdr:rowOff>95250</xdr:rowOff>
    </xdr:from>
    <xdr:to>
      <xdr:col>3</xdr:col>
      <xdr:colOff>457200</xdr:colOff>
      <xdr:row>129</xdr:row>
      <xdr:rowOff>114300</xdr:rowOff>
    </xdr:to>
    <xdr:grpSp>
      <xdr:nvGrpSpPr>
        <xdr:cNvPr id="136" name="Group 2"/>
        <xdr:cNvGrpSpPr>
          <a:grpSpLocks/>
        </xdr:cNvGrpSpPr>
      </xdr:nvGrpSpPr>
      <xdr:grpSpPr bwMode="auto">
        <a:xfrm>
          <a:off x="5067300" y="40252650"/>
          <a:ext cx="333375" cy="295275"/>
          <a:chOff x="5074151" y="6122100"/>
          <a:chExt cx="212224" cy="239239"/>
        </a:xfrm>
      </xdr:grpSpPr>
      <xdr:sp macro="" textlink="">
        <xdr:nvSpPr>
          <xdr:cNvPr id="137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8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128</xdr:row>
      <xdr:rowOff>142874</xdr:rowOff>
    </xdr:from>
    <xdr:to>
      <xdr:col>0</xdr:col>
      <xdr:colOff>695328</xdr:colOff>
      <xdr:row>129</xdr:row>
      <xdr:rowOff>104774</xdr:rowOff>
    </xdr:to>
    <xdr:sp macro="" textlink="">
      <xdr:nvSpPr>
        <xdr:cNvPr id="139" name="Down Arrow 138"/>
        <xdr:cNvSpPr/>
      </xdr:nvSpPr>
      <xdr:spPr>
        <a:xfrm rot="16200000">
          <a:off x="261940" y="45410437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184</xdr:row>
      <xdr:rowOff>38100</xdr:rowOff>
    </xdr:from>
    <xdr:to>
      <xdr:col>4</xdr:col>
      <xdr:colOff>390525</xdr:colOff>
      <xdr:row>185</xdr:row>
      <xdr:rowOff>85725</xdr:rowOff>
    </xdr:to>
    <xdr:sp macro="" textlink="">
      <xdr:nvSpPr>
        <xdr:cNvPr id="180" name="AutoShape 3"/>
        <xdr:cNvSpPr>
          <a:spLocks noChangeArrowheads="1"/>
        </xdr:cNvSpPr>
      </xdr:nvSpPr>
      <xdr:spPr bwMode="auto">
        <a:xfrm>
          <a:off x="6781800" y="41214675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184</xdr:row>
      <xdr:rowOff>114300</xdr:rowOff>
    </xdr:from>
    <xdr:to>
      <xdr:col>1</xdr:col>
      <xdr:colOff>495300</xdr:colOff>
      <xdr:row>185</xdr:row>
      <xdr:rowOff>133350</xdr:rowOff>
    </xdr:to>
    <xdr:sp macro="" textlink="">
      <xdr:nvSpPr>
        <xdr:cNvPr id="181" name="Rectangle 4"/>
        <xdr:cNvSpPr>
          <a:spLocks noChangeArrowheads="1"/>
        </xdr:cNvSpPr>
      </xdr:nvSpPr>
      <xdr:spPr bwMode="auto">
        <a:xfrm>
          <a:off x="1800225" y="41290875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184</xdr:row>
      <xdr:rowOff>47625</xdr:rowOff>
    </xdr:from>
    <xdr:to>
      <xdr:col>2</xdr:col>
      <xdr:colOff>419100</xdr:colOff>
      <xdr:row>185</xdr:row>
      <xdr:rowOff>104775</xdr:rowOff>
    </xdr:to>
    <xdr:sp macro="" textlink="">
      <xdr:nvSpPr>
        <xdr:cNvPr id="182" name="Oval 6"/>
        <xdr:cNvSpPr>
          <a:spLocks noChangeArrowheads="1"/>
        </xdr:cNvSpPr>
      </xdr:nvSpPr>
      <xdr:spPr bwMode="auto">
        <a:xfrm>
          <a:off x="3600450" y="41224200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184</xdr:row>
      <xdr:rowOff>95250</xdr:rowOff>
    </xdr:from>
    <xdr:to>
      <xdr:col>3</xdr:col>
      <xdr:colOff>457200</xdr:colOff>
      <xdr:row>185</xdr:row>
      <xdr:rowOff>114300</xdr:rowOff>
    </xdr:to>
    <xdr:grpSp>
      <xdr:nvGrpSpPr>
        <xdr:cNvPr id="183" name="Group 2"/>
        <xdr:cNvGrpSpPr>
          <a:grpSpLocks/>
        </xdr:cNvGrpSpPr>
      </xdr:nvGrpSpPr>
      <xdr:grpSpPr bwMode="auto">
        <a:xfrm>
          <a:off x="5067300" y="56130825"/>
          <a:ext cx="333375" cy="295275"/>
          <a:chOff x="5074151" y="6122100"/>
          <a:chExt cx="212224" cy="239239"/>
        </a:xfrm>
      </xdr:grpSpPr>
      <xdr:sp macro="" textlink="">
        <xdr:nvSpPr>
          <xdr:cNvPr id="184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5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184</xdr:row>
      <xdr:rowOff>142874</xdr:rowOff>
    </xdr:from>
    <xdr:to>
      <xdr:col>0</xdr:col>
      <xdr:colOff>695328</xdr:colOff>
      <xdr:row>185</xdr:row>
      <xdr:rowOff>104774</xdr:rowOff>
    </xdr:to>
    <xdr:sp macro="" textlink="">
      <xdr:nvSpPr>
        <xdr:cNvPr id="186" name="Down Arrow 185"/>
        <xdr:cNvSpPr/>
      </xdr:nvSpPr>
      <xdr:spPr>
        <a:xfrm rot="16200000">
          <a:off x="261940" y="41124187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97</xdr:row>
      <xdr:rowOff>38100</xdr:rowOff>
    </xdr:from>
    <xdr:to>
      <xdr:col>4</xdr:col>
      <xdr:colOff>390525</xdr:colOff>
      <xdr:row>98</xdr:row>
      <xdr:rowOff>85725</xdr:rowOff>
    </xdr:to>
    <xdr:sp macro="" textlink="">
      <xdr:nvSpPr>
        <xdr:cNvPr id="230" name="AutoShape 3"/>
        <xdr:cNvSpPr>
          <a:spLocks noChangeArrowheads="1"/>
        </xdr:cNvSpPr>
      </xdr:nvSpPr>
      <xdr:spPr bwMode="auto">
        <a:xfrm>
          <a:off x="6848475" y="17792700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97</xdr:row>
      <xdr:rowOff>114300</xdr:rowOff>
    </xdr:from>
    <xdr:to>
      <xdr:col>1</xdr:col>
      <xdr:colOff>495300</xdr:colOff>
      <xdr:row>98</xdr:row>
      <xdr:rowOff>133350</xdr:rowOff>
    </xdr:to>
    <xdr:sp macro="" textlink="">
      <xdr:nvSpPr>
        <xdr:cNvPr id="231" name="Rectangle 4"/>
        <xdr:cNvSpPr>
          <a:spLocks noChangeArrowheads="1"/>
        </xdr:cNvSpPr>
      </xdr:nvSpPr>
      <xdr:spPr bwMode="auto">
        <a:xfrm>
          <a:off x="1866900" y="17868900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97</xdr:row>
      <xdr:rowOff>47625</xdr:rowOff>
    </xdr:from>
    <xdr:to>
      <xdr:col>2</xdr:col>
      <xdr:colOff>419100</xdr:colOff>
      <xdr:row>98</xdr:row>
      <xdr:rowOff>104775</xdr:rowOff>
    </xdr:to>
    <xdr:sp macro="" textlink="">
      <xdr:nvSpPr>
        <xdr:cNvPr id="232" name="Oval 6"/>
        <xdr:cNvSpPr>
          <a:spLocks noChangeArrowheads="1"/>
        </xdr:cNvSpPr>
      </xdr:nvSpPr>
      <xdr:spPr bwMode="auto">
        <a:xfrm>
          <a:off x="3667125" y="17802225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97</xdr:row>
      <xdr:rowOff>95250</xdr:rowOff>
    </xdr:from>
    <xdr:to>
      <xdr:col>3</xdr:col>
      <xdr:colOff>457200</xdr:colOff>
      <xdr:row>98</xdr:row>
      <xdr:rowOff>114300</xdr:rowOff>
    </xdr:to>
    <xdr:grpSp>
      <xdr:nvGrpSpPr>
        <xdr:cNvPr id="233" name="Group 2"/>
        <xdr:cNvGrpSpPr>
          <a:grpSpLocks/>
        </xdr:cNvGrpSpPr>
      </xdr:nvGrpSpPr>
      <xdr:grpSpPr bwMode="auto">
        <a:xfrm>
          <a:off x="5067300" y="30918150"/>
          <a:ext cx="333375" cy="295275"/>
          <a:chOff x="5074151" y="6122100"/>
          <a:chExt cx="212224" cy="239239"/>
        </a:xfrm>
      </xdr:grpSpPr>
      <xdr:sp macro="" textlink="">
        <xdr:nvSpPr>
          <xdr:cNvPr id="234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5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97</xdr:row>
      <xdr:rowOff>142874</xdr:rowOff>
    </xdr:from>
    <xdr:to>
      <xdr:col>0</xdr:col>
      <xdr:colOff>695328</xdr:colOff>
      <xdr:row>98</xdr:row>
      <xdr:rowOff>104774</xdr:rowOff>
    </xdr:to>
    <xdr:sp macro="" textlink="">
      <xdr:nvSpPr>
        <xdr:cNvPr id="236" name="Down Arrow 235"/>
        <xdr:cNvSpPr/>
      </xdr:nvSpPr>
      <xdr:spPr>
        <a:xfrm rot="16200000">
          <a:off x="261940" y="17702212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212</xdr:row>
      <xdr:rowOff>38100</xdr:rowOff>
    </xdr:from>
    <xdr:to>
      <xdr:col>4</xdr:col>
      <xdr:colOff>390525</xdr:colOff>
      <xdr:row>213</xdr:row>
      <xdr:rowOff>85725</xdr:rowOff>
    </xdr:to>
    <xdr:sp macro="" textlink="">
      <xdr:nvSpPr>
        <xdr:cNvPr id="168" name="AutoShape 3"/>
        <xdr:cNvSpPr>
          <a:spLocks noChangeArrowheads="1"/>
        </xdr:cNvSpPr>
      </xdr:nvSpPr>
      <xdr:spPr bwMode="auto">
        <a:xfrm>
          <a:off x="6848475" y="41367075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212</xdr:row>
      <xdr:rowOff>114300</xdr:rowOff>
    </xdr:from>
    <xdr:to>
      <xdr:col>1</xdr:col>
      <xdr:colOff>495300</xdr:colOff>
      <xdr:row>213</xdr:row>
      <xdr:rowOff>133350</xdr:rowOff>
    </xdr:to>
    <xdr:sp macro="" textlink="">
      <xdr:nvSpPr>
        <xdr:cNvPr id="173" name="Rectangle 4"/>
        <xdr:cNvSpPr>
          <a:spLocks noChangeArrowheads="1"/>
        </xdr:cNvSpPr>
      </xdr:nvSpPr>
      <xdr:spPr bwMode="auto">
        <a:xfrm>
          <a:off x="1866900" y="41443275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212</xdr:row>
      <xdr:rowOff>47625</xdr:rowOff>
    </xdr:from>
    <xdr:to>
      <xdr:col>2</xdr:col>
      <xdr:colOff>419100</xdr:colOff>
      <xdr:row>213</xdr:row>
      <xdr:rowOff>104775</xdr:rowOff>
    </xdr:to>
    <xdr:sp macro="" textlink="">
      <xdr:nvSpPr>
        <xdr:cNvPr id="178" name="Oval 6"/>
        <xdr:cNvSpPr>
          <a:spLocks noChangeArrowheads="1"/>
        </xdr:cNvSpPr>
      </xdr:nvSpPr>
      <xdr:spPr bwMode="auto">
        <a:xfrm>
          <a:off x="3667125" y="41376600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212</xdr:row>
      <xdr:rowOff>95250</xdr:rowOff>
    </xdr:from>
    <xdr:to>
      <xdr:col>3</xdr:col>
      <xdr:colOff>457200</xdr:colOff>
      <xdr:row>213</xdr:row>
      <xdr:rowOff>114300</xdr:rowOff>
    </xdr:to>
    <xdr:grpSp>
      <xdr:nvGrpSpPr>
        <xdr:cNvPr id="179" name="Group 2"/>
        <xdr:cNvGrpSpPr>
          <a:grpSpLocks/>
        </xdr:cNvGrpSpPr>
      </xdr:nvGrpSpPr>
      <xdr:grpSpPr bwMode="auto">
        <a:xfrm>
          <a:off x="5067300" y="64350900"/>
          <a:ext cx="333375" cy="295275"/>
          <a:chOff x="5074151" y="6122100"/>
          <a:chExt cx="212224" cy="239239"/>
        </a:xfrm>
      </xdr:grpSpPr>
      <xdr:sp macro="" textlink="">
        <xdr:nvSpPr>
          <xdr:cNvPr id="226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7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212</xdr:row>
      <xdr:rowOff>142874</xdr:rowOff>
    </xdr:from>
    <xdr:to>
      <xdr:col>0</xdr:col>
      <xdr:colOff>695328</xdr:colOff>
      <xdr:row>213</xdr:row>
      <xdr:rowOff>104774</xdr:rowOff>
    </xdr:to>
    <xdr:sp macro="" textlink="">
      <xdr:nvSpPr>
        <xdr:cNvPr id="254" name="Down Arrow 253"/>
        <xdr:cNvSpPr/>
      </xdr:nvSpPr>
      <xdr:spPr>
        <a:xfrm rot="16200000">
          <a:off x="261940" y="41276587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3</xdr:row>
      <xdr:rowOff>257175</xdr:rowOff>
    </xdr:from>
    <xdr:to>
      <xdr:col>2</xdr:col>
      <xdr:colOff>923925</xdr:colOff>
      <xdr:row>3</xdr:row>
      <xdr:rowOff>857250</xdr:rowOff>
    </xdr:to>
    <xdr:sp macro="" textlink="">
      <xdr:nvSpPr>
        <xdr:cNvPr id="2" name="Rectangle 505"/>
        <xdr:cNvSpPr>
          <a:spLocks noChangeArrowheads="1"/>
        </xdr:cNvSpPr>
      </xdr:nvSpPr>
      <xdr:spPr bwMode="auto">
        <a:xfrm>
          <a:off x="4286250" y="2324100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3</xdr:row>
      <xdr:rowOff>257175</xdr:rowOff>
    </xdr:from>
    <xdr:to>
      <xdr:col>0</xdr:col>
      <xdr:colOff>1266825</xdr:colOff>
      <xdr:row>3</xdr:row>
      <xdr:rowOff>762000</xdr:rowOff>
    </xdr:to>
    <xdr:sp macro="" textlink="">
      <xdr:nvSpPr>
        <xdr:cNvPr id="3" name="Rectangle 505"/>
        <xdr:cNvSpPr>
          <a:spLocks noChangeArrowheads="1"/>
        </xdr:cNvSpPr>
      </xdr:nvSpPr>
      <xdr:spPr bwMode="auto">
        <a:xfrm>
          <a:off x="485775" y="2324100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2063750</xdr:colOff>
      <xdr:row>339</xdr:row>
      <xdr:rowOff>285749</xdr:rowOff>
    </xdr:from>
    <xdr:to>
      <xdr:col>11</xdr:col>
      <xdr:colOff>1238250</xdr:colOff>
      <xdr:row>426</xdr:row>
      <xdr:rowOff>57225</xdr:rowOff>
    </xdr:to>
    <xdr:pic>
      <xdr:nvPicPr>
        <xdr:cNvPr id="3121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19500" y="323913499"/>
          <a:ext cx="22193250" cy="1370655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698500</xdr:colOff>
      <xdr:row>339</xdr:row>
      <xdr:rowOff>508000</xdr:rowOff>
    </xdr:from>
    <xdr:to>
      <xdr:col>11</xdr:col>
      <xdr:colOff>984250</xdr:colOff>
      <xdr:row>348</xdr:row>
      <xdr:rowOff>123825</xdr:rowOff>
    </xdr:to>
    <xdr:pic>
      <xdr:nvPicPr>
        <xdr:cNvPr id="3122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39000" y="324135750"/>
          <a:ext cx="18319750" cy="13874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1454150</xdr:colOff>
      <xdr:row>341</xdr:row>
      <xdr:rowOff>158750</xdr:rowOff>
    </xdr:from>
    <xdr:to>
      <xdr:col>11</xdr:col>
      <xdr:colOff>1739900</xdr:colOff>
      <xdr:row>354</xdr:row>
      <xdr:rowOff>47625</xdr:rowOff>
    </xdr:to>
    <xdr:pic>
      <xdr:nvPicPr>
        <xdr:cNvPr id="6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994650" y="325437500"/>
          <a:ext cx="18319750" cy="1952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2381250</xdr:colOff>
      <xdr:row>339</xdr:row>
      <xdr:rowOff>793750</xdr:rowOff>
    </xdr:from>
    <xdr:to>
      <xdr:col>2</xdr:col>
      <xdr:colOff>1492250</xdr:colOff>
      <xdr:row>407</xdr:row>
      <xdr:rowOff>6350</xdr:rowOff>
    </xdr:to>
    <xdr:pic>
      <xdr:nvPicPr>
        <xdr:cNvPr id="65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937000" y="324421500"/>
          <a:ext cx="1746250" cy="10636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381000</xdr:colOff>
      <xdr:row>10</xdr:row>
      <xdr:rowOff>762000</xdr:rowOff>
    </xdr:from>
    <xdr:to>
      <xdr:col>13</xdr:col>
      <xdr:colOff>1365250</xdr:colOff>
      <xdr:row>34</xdr:row>
      <xdr:rowOff>317500</xdr:rowOff>
    </xdr:to>
    <xdr:pic>
      <xdr:nvPicPr>
        <xdr:cNvPr id="41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936750" y="9271000"/>
          <a:ext cx="29305250" cy="193675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219073</xdr:colOff>
      <xdr:row>7</xdr:row>
      <xdr:rowOff>66675</xdr:rowOff>
    </xdr:from>
    <xdr:to>
      <xdr:col>10</xdr:col>
      <xdr:colOff>685799</xdr:colOff>
      <xdr:row>37</xdr:row>
      <xdr:rowOff>95250</xdr:rowOff>
    </xdr:to>
    <xdr:grpSp>
      <xdr:nvGrpSpPr>
        <xdr:cNvPr id="5" name="Group 4"/>
        <xdr:cNvGrpSpPr/>
      </xdr:nvGrpSpPr>
      <xdr:grpSpPr>
        <a:xfrm>
          <a:off x="219073" y="1762125"/>
          <a:ext cx="7810501" cy="4972050"/>
          <a:chOff x="0" y="7874000"/>
          <a:chExt cx="32823150" cy="21633783"/>
        </a:xfrm>
      </xdr:grpSpPr>
      <xdr:pic>
        <xdr:nvPicPr>
          <xdr:cNvPr id="6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0" y="7918449"/>
            <a:ext cx="14789150" cy="13845201"/>
          </a:xfrm>
          <a:prstGeom prst="rect">
            <a:avLst/>
          </a:prstGeom>
          <a:noFill/>
        </xdr:spPr>
      </xdr:pic>
      <xdr:pic>
        <xdr:nvPicPr>
          <xdr:cNvPr id="7" name="Picture 2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15005050" y="7874000"/>
            <a:ext cx="16935450" cy="11779250"/>
          </a:xfrm>
          <a:prstGeom prst="rect">
            <a:avLst/>
          </a:prstGeom>
          <a:noFill/>
        </xdr:spPr>
      </xdr:pic>
      <xdr:pic>
        <xdr:nvPicPr>
          <xdr:cNvPr id="8" name="Picture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14865350" y="19888200"/>
            <a:ext cx="17957800" cy="9619583"/>
          </a:xfrm>
          <a:prstGeom prst="rect">
            <a:avLst/>
          </a:prstGeom>
          <a:noFill/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22</xdr:row>
      <xdr:rowOff>38100</xdr:rowOff>
    </xdr:from>
    <xdr:to>
      <xdr:col>0</xdr:col>
      <xdr:colOff>190500</xdr:colOff>
      <xdr:row>26</xdr:row>
      <xdr:rowOff>152400</xdr:rowOff>
    </xdr:to>
    <xdr:grpSp>
      <xdr:nvGrpSpPr>
        <xdr:cNvPr id="2" name="Group 54"/>
        <xdr:cNvGrpSpPr>
          <a:grpSpLocks/>
        </xdr:cNvGrpSpPr>
      </xdr:nvGrpSpPr>
      <xdr:grpSpPr bwMode="auto">
        <a:xfrm>
          <a:off x="85725" y="4743450"/>
          <a:ext cx="104775" cy="914400"/>
          <a:chOff x="1" y="442"/>
          <a:chExt cx="11" cy="92"/>
        </a:xfrm>
      </xdr:grpSpPr>
      <xdr:grpSp>
        <xdr:nvGrpSpPr>
          <xdr:cNvPr id="3" name="Group 55"/>
          <xdr:cNvGrpSpPr>
            <a:grpSpLocks/>
          </xdr:cNvGrpSpPr>
        </xdr:nvGrpSpPr>
        <xdr:grpSpPr bwMode="auto">
          <a:xfrm>
            <a:off x="1" y="442"/>
            <a:ext cx="11" cy="72"/>
            <a:chOff x="1" y="442"/>
            <a:chExt cx="11" cy="72"/>
          </a:xfrm>
        </xdr:grpSpPr>
        <xdr:sp macro="" textlink="">
          <xdr:nvSpPr>
            <xdr:cNvPr id="5" name="AutoShape 56"/>
            <xdr:cNvSpPr>
              <a:spLocks noChangeAspect="1" noChangeArrowheads="1"/>
            </xdr:cNvSpPr>
          </xdr:nvSpPr>
          <xdr:spPr bwMode="auto">
            <a:xfrm>
              <a:off x="1" y="44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AutoShape 57"/>
            <xdr:cNvSpPr>
              <a:spLocks noChangeAspect="1" noChangeArrowheads="1"/>
            </xdr:cNvSpPr>
          </xdr:nvSpPr>
          <xdr:spPr bwMode="auto">
            <a:xfrm>
              <a:off x="1" y="46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" name="AutoShape 58"/>
            <xdr:cNvSpPr>
              <a:spLocks noChangeAspect="1" noChangeArrowheads="1"/>
            </xdr:cNvSpPr>
          </xdr:nvSpPr>
          <xdr:spPr bwMode="auto">
            <a:xfrm>
              <a:off x="1" y="48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" name="AutoShape 59"/>
            <xdr:cNvSpPr>
              <a:spLocks noChangeAspect="1" noChangeArrowheads="1"/>
            </xdr:cNvSpPr>
          </xdr:nvSpPr>
          <xdr:spPr bwMode="auto">
            <a:xfrm>
              <a:off x="1" y="503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" name="AutoShape 60"/>
          <xdr:cNvSpPr>
            <a:spLocks noChangeAspect="1" noChangeArrowheads="1"/>
          </xdr:cNvSpPr>
        </xdr:nvSpPr>
        <xdr:spPr bwMode="auto">
          <a:xfrm>
            <a:off x="1" y="523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76200</xdr:colOff>
      <xdr:row>30</xdr:row>
      <xdr:rowOff>47625</xdr:rowOff>
    </xdr:from>
    <xdr:to>
      <xdr:col>0</xdr:col>
      <xdr:colOff>180975</xdr:colOff>
      <xdr:row>30</xdr:row>
      <xdr:rowOff>152400</xdr:rowOff>
    </xdr:to>
    <xdr:sp macro="" textlink="">
      <xdr:nvSpPr>
        <xdr:cNvPr id="9" name="AutoShape 61"/>
        <xdr:cNvSpPr>
          <a:spLocks noChangeAspect="1" noChangeArrowheads="1"/>
        </xdr:cNvSpPr>
      </xdr:nvSpPr>
      <xdr:spPr bwMode="auto">
        <a:xfrm>
          <a:off x="76200" y="6353175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32</xdr:row>
      <xdr:rowOff>57150</xdr:rowOff>
    </xdr:from>
    <xdr:to>
      <xdr:col>0</xdr:col>
      <xdr:colOff>152400</xdr:colOff>
      <xdr:row>32</xdr:row>
      <xdr:rowOff>161925</xdr:rowOff>
    </xdr:to>
    <xdr:sp macro="" textlink="">
      <xdr:nvSpPr>
        <xdr:cNvPr id="10" name="AutoShape 62"/>
        <xdr:cNvSpPr>
          <a:spLocks noChangeAspect="1" noChangeArrowheads="1"/>
        </xdr:cNvSpPr>
      </xdr:nvSpPr>
      <xdr:spPr bwMode="auto">
        <a:xfrm>
          <a:off x="47625" y="6762750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66675</xdr:colOff>
      <xdr:row>34</xdr:row>
      <xdr:rowOff>57150</xdr:rowOff>
    </xdr:from>
    <xdr:to>
      <xdr:col>0</xdr:col>
      <xdr:colOff>171450</xdr:colOff>
      <xdr:row>34</xdr:row>
      <xdr:rowOff>161925</xdr:rowOff>
    </xdr:to>
    <xdr:sp macro="" textlink="">
      <xdr:nvSpPr>
        <xdr:cNvPr id="11" name="AutoShape 64"/>
        <xdr:cNvSpPr>
          <a:spLocks noChangeAspect="1" noChangeArrowheads="1"/>
        </xdr:cNvSpPr>
      </xdr:nvSpPr>
      <xdr:spPr bwMode="auto">
        <a:xfrm>
          <a:off x="66675" y="7162800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57150</xdr:colOff>
      <xdr:row>35</xdr:row>
      <xdr:rowOff>57150</xdr:rowOff>
    </xdr:from>
    <xdr:to>
      <xdr:col>0</xdr:col>
      <xdr:colOff>161925</xdr:colOff>
      <xdr:row>35</xdr:row>
      <xdr:rowOff>161925</xdr:rowOff>
    </xdr:to>
    <xdr:sp macro="" textlink="">
      <xdr:nvSpPr>
        <xdr:cNvPr id="12" name="AutoShape 65"/>
        <xdr:cNvSpPr>
          <a:spLocks noChangeAspect="1" noChangeArrowheads="1"/>
        </xdr:cNvSpPr>
      </xdr:nvSpPr>
      <xdr:spPr bwMode="auto">
        <a:xfrm>
          <a:off x="57150" y="7362825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571500</xdr:colOff>
      <xdr:row>54</xdr:row>
      <xdr:rowOff>9525</xdr:rowOff>
    </xdr:from>
    <xdr:to>
      <xdr:col>3</xdr:col>
      <xdr:colOff>38100</xdr:colOff>
      <xdr:row>55</xdr:row>
      <xdr:rowOff>152400</xdr:rowOff>
    </xdr:to>
    <xdr:grpSp>
      <xdr:nvGrpSpPr>
        <xdr:cNvPr id="13" name="Group 67"/>
        <xdr:cNvGrpSpPr>
          <a:grpSpLocks/>
        </xdr:cNvGrpSpPr>
      </xdr:nvGrpSpPr>
      <xdr:grpSpPr bwMode="auto">
        <a:xfrm>
          <a:off x="2114550" y="11172825"/>
          <a:ext cx="304800" cy="342900"/>
          <a:chOff x="164" y="1104"/>
          <a:chExt cx="11" cy="31"/>
        </a:xfrm>
      </xdr:grpSpPr>
      <xdr:sp macro="" textlink="">
        <xdr:nvSpPr>
          <xdr:cNvPr id="14" name="AutoShape 68"/>
          <xdr:cNvSpPr>
            <a:spLocks noChangeAspect="1" noChangeArrowheads="1"/>
          </xdr:cNvSpPr>
        </xdr:nvSpPr>
        <xdr:spPr bwMode="auto">
          <a:xfrm>
            <a:off x="164" y="112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69"/>
          <xdr:cNvSpPr>
            <a:spLocks noChangeAspect="1" noChangeArrowheads="1"/>
          </xdr:cNvSpPr>
        </xdr:nvSpPr>
        <xdr:spPr bwMode="auto">
          <a:xfrm>
            <a:off x="164" y="110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981075</xdr:colOff>
      <xdr:row>5</xdr:row>
      <xdr:rowOff>76200</xdr:rowOff>
    </xdr:from>
    <xdr:to>
      <xdr:col>3</xdr:col>
      <xdr:colOff>1181100</xdr:colOff>
      <xdr:row>6</xdr:row>
      <xdr:rowOff>66675</xdr:rowOff>
    </xdr:to>
    <xdr:sp macro="" textlink="">
      <xdr:nvSpPr>
        <xdr:cNvPr id="16" name="AutoShape 70"/>
        <xdr:cNvSpPr>
          <a:spLocks noChangeArrowheads="1"/>
        </xdr:cNvSpPr>
      </xdr:nvSpPr>
      <xdr:spPr bwMode="auto">
        <a:xfrm>
          <a:off x="3362325" y="1381125"/>
          <a:ext cx="200025" cy="1905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504825</xdr:colOff>
      <xdr:row>53</xdr:row>
      <xdr:rowOff>171450</xdr:rowOff>
    </xdr:from>
    <xdr:to>
      <xdr:col>10</xdr:col>
      <xdr:colOff>76200</xdr:colOff>
      <xdr:row>56</xdr:row>
      <xdr:rowOff>28575</xdr:rowOff>
    </xdr:to>
    <xdr:grpSp>
      <xdr:nvGrpSpPr>
        <xdr:cNvPr id="17" name="Group 72"/>
        <xdr:cNvGrpSpPr>
          <a:grpSpLocks/>
        </xdr:cNvGrpSpPr>
      </xdr:nvGrpSpPr>
      <xdr:grpSpPr bwMode="auto">
        <a:xfrm>
          <a:off x="8734425" y="11134725"/>
          <a:ext cx="276225" cy="457200"/>
          <a:chOff x="164" y="1104"/>
          <a:chExt cx="11" cy="31"/>
        </a:xfrm>
      </xdr:grpSpPr>
      <xdr:sp macro="" textlink="">
        <xdr:nvSpPr>
          <xdr:cNvPr id="18" name="AutoShape 73"/>
          <xdr:cNvSpPr>
            <a:spLocks noChangeAspect="1" noChangeArrowheads="1"/>
          </xdr:cNvSpPr>
        </xdr:nvSpPr>
        <xdr:spPr bwMode="auto">
          <a:xfrm>
            <a:off x="164" y="112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AutoShape 74"/>
          <xdr:cNvSpPr>
            <a:spLocks noChangeAspect="1" noChangeArrowheads="1"/>
          </xdr:cNvSpPr>
        </xdr:nvSpPr>
        <xdr:spPr bwMode="auto">
          <a:xfrm>
            <a:off x="164" y="110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381000</xdr:colOff>
      <xdr:row>11</xdr:row>
      <xdr:rowOff>28575</xdr:rowOff>
    </xdr:from>
    <xdr:to>
      <xdr:col>5</xdr:col>
      <xdr:colOff>542925</xdr:colOff>
      <xdr:row>11</xdr:row>
      <xdr:rowOff>161925</xdr:rowOff>
    </xdr:to>
    <xdr:sp macro="" textlink="">
      <xdr:nvSpPr>
        <xdr:cNvPr id="20" name="AutoShape 76"/>
        <xdr:cNvSpPr>
          <a:spLocks noChangeArrowheads="1"/>
        </xdr:cNvSpPr>
      </xdr:nvSpPr>
      <xdr:spPr bwMode="auto">
        <a:xfrm>
          <a:off x="4619625" y="2533650"/>
          <a:ext cx="1619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390525</xdr:colOff>
      <xdr:row>17</xdr:row>
      <xdr:rowOff>28575</xdr:rowOff>
    </xdr:from>
    <xdr:to>
      <xdr:col>8</xdr:col>
      <xdr:colOff>542925</xdr:colOff>
      <xdr:row>17</xdr:row>
      <xdr:rowOff>200025</xdr:rowOff>
    </xdr:to>
    <xdr:sp macro="" textlink="">
      <xdr:nvSpPr>
        <xdr:cNvPr id="21" name="AutoShape 77"/>
        <xdr:cNvSpPr>
          <a:spLocks noChangeArrowheads="1"/>
        </xdr:cNvSpPr>
      </xdr:nvSpPr>
      <xdr:spPr bwMode="auto">
        <a:xfrm>
          <a:off x="7934325" y="3733800"/>
          <a:ext cx="15240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390525</xdr:colOff>
      <xdr:row>18</xdr:row>
      <xdr:rowOff>47625</xdr:rowOff>
    </xdr:from>
    <xdr:to>
      <xdr:col>8</xdr:col>
      <xdr:colOff>542925</xdr:colOff>
      <xdr:row>19</xdr:row>
      <xdr:rowOff>9525</xdr:rowOff>
    </xdr:to>
    <xdr:sp macro="" textlink="">
      <xdr:nvSpPr>
        <xdr:cNvPr id="22" name="AutoShape 78"/>
        <xdr:cNvSpPr>
          <a:spLocks noChangeArrowheads="1"/>
        </xdr:cNvSpPr>
      </xdr:nvSpPr>
      <xdr:spPr bwMode="auto">
        <a:xfrm>
          <a:off x="7934325" y="3952875"/>
          <a:ext cx="152400" cy="1619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790575</xdr:colOff>
      <xdr:row>41</xdr:row>
      <xdr:rowOff>9525</xdr:rowOff>
    </xdr:from>
    <xdr:to>
      <xdr:col>6</xdr:col>
      <xdr:colOff>990600</xdr:colOff>
      <xdr:row>41</xdr:row>
      <xdr:rowOff>171450</xdr:rowOff>
    </xdr:to>
    <xdr:sp macro="" textlink="">
      <xdr:nvSpPr>
        <xdr:cNvPr id="23" name="AutoShape 79"/>
        <xdr:cNvSpPr>
          <a:spLocks noChangeArrowheads="1"/>
        </xdr:cNvSpPr>
      </xdr:nvSpPr>
      <xdr:spPr bwMode="auto">
        <a:xfrm>
          <a:off x="5734050" y="8515350"/>
          <a:ext cx="200025" cy="1619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371475</xdr:colOff>
      <xdr:row>39</xdr:row>
      <xdr:rowOff>47625</xdr:rowOff>
    </xdr:from>
    <xdr:to>
      <xdr:col>1</xdr:col>
      <xdr:colOff>523875</xdr:colOff>
      <xdr:row>39</xdr:row>
      <xdr:rowOff>219075</xdr:rowOff>
    </xdr:to>
    <xdr:sp macro="" textlink="">
      <xdr:nvSpPr>
        <xdr:cNvPr id="24" name="AutoShape 81"/>
        <xdr:cNvSpPr>
          <a:spLocks noChangeArrowheads="1"/>
        </xdr:cNvSpPr>
      </xdr:nvSpPr>
      <xdr:spPr bwMode="auto">
        <a:xfrm>
          <a:off x="1304925" y="8153400"/>
          <a:ext cx="152400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39</xdr:row>
      <xdr:rowOff>28575</xdr:rowOff>
    </xdr:from>
    <xdr:to>
      <xdr:col>7</xdr:col>
      <xdr:colOff>161925</xdr:colOff>
      <xdr:row>39</xdr:row>
      <xdr:rowOff>171450</xdr:rowOff>
    </xdr:to>
    <xdr:sp macro="" textlink="">
      <xdr:nvSpPr>
        <xdr:cNvPr id="25" name="AutoShape 83"/>
        <xdr:cNvSpPr>
          <a:spLocks noChangeArrowheads="1"/>
        </xdr:cNvSpPr>
      </xdr:nvSpPr>
      <xdr:spPr bwMode="auto">
        <a:xfrm>
          <a:off x="6324600" y="8134350"/>
          <a:ext cx="1524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3</xdr:row>
      <xdr:rowOff>285750</xdr:rowOff>
    </xdr:from>
    <xdr:to>
      <xdr:col>3</xdr:col>
      <xdr:colOff>638175</xdr:colOff>
      <xdr:row>3</xdr:row>
      <xdr:rowOff>285750</xdr:rowOff>
    </xdr:to>
    <xdr:sp macro="" textlink="">
      <xdr:nvSpPr>
        <xdr:cNvPr id="26" name="Line 84"/>
        <xdr:cNvSpPr>
          <a:spLocks noChangeShapeType="1"/>
        </xdr:cNvSpPr>
      </xdr:nvSpPr>
      <xdr:spPr bwMode="auto">
        <a:xfrm>
          <a:off x="1000125" y="1085850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1333500</xdr:colOff>
      <xdr:row>4</xdr:row>
      <xdr:rowOff>0</xdr:rowOff>
    </xdr:from>
    <xdr:to>
      <xdr:col>9</xdr:col>
      <xdr:colOff>247650</xdr:colOff>
      <xdr:row>4</xdr:row>
      <xdr:rowOff>0</xdr:rowOff>
    </xdr:to>
    <xdr:sp macro="" textlink="">
      <xdr:nvSpPr>
        <xdr:cNvPr id="27" name="Line 85"/>
        <xdr:cNvSpPr>
          <a:spLocks noChangeShapeType="1"/>
        </xdr:cNvSpPr>
      </xdr:nvSpPr>
      <xdr:spPr bwMode="auto">
        <a:xfrm flipV="1">
          <a:off x="6276975" y="1104900"/>
          <a:ext cx="2200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314325</xdr:colOff>
      <xdr:row>11</xdr:row>
      <xdr:rowOff>0</xdr:rowOff>
    </xdr:from>
    <xdr:to>
      <xdr:col>8</xdr:col>
      <xdr:colOff>485775</xdr:colOff>
      <xdr:row>11</xdr:row>
      <xdr:rowOff>161925</xdr:rowOff>
    </xdr:to>
    <xdr:sp macro="" textlink="">
      <xdr:nvSpPr>
        <xdr:cNvPr id="28" name="AutoShape 86"/>
        <xdr:cNvSpPr>
          <a:spLocks noChangeArrowheads="1"/>
        </xdr:cNvSpPr>
      </xdr:nvSpPr>
      <xdr:spPr bwMode="auto">
        <a:xfrm>
          <a:off x="7858125" y="2505075"/>
          <a:ext cx="171450" cy="1619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304800</xdr:colOff>
      <xdr:row>22</xdr:row>
      <xdr:rowOff>38100</xdr:rowOff>
    </xdr:from>
    <xdr:to>
      <xdr:col>6</xdr:col>
      <xdr:colOff>409575</xdr:colOff>
      <xdr:row>26</xdr:row>
      <xdr:rowOff>152400</xdr:rowOff>
    </xdr:to>
    <xdr:grpSp>
      <xdr:nvGrpSpPr>
        <xdr:cNvPr id="29" name="Group 89"/>
        <xdr:cNvGrpSpPr>
          <a:grpSpLocks/>
        </xdr:cNvGrpSpPr>
      </xdr:nvGrpSpPr>
      <xdr:grpSpPr bwMode="auto">
        <a:xfrm>
          <a:off x="5248275" y="4743450"/>
          <a:ext cx="104775" cy="914400"/>
          <a:chOff x="1" y="442"/>
          <a:chExt cx="11" cy="92"/>
        </a:xfrm>
      </xdr:grpSpPr>
      <xdr:grpSp>
        <xdr:nvGrpSpPr>
          <xdr:cNvPr id="30" name="Group 90"/>
          <xdr:cNvGrpSpPr>
            <a:grpSpLocks/>
          </xdr:cNvGrpSpPr>
        </xdr:nvGrpSpPr>
        <xdr:grpSpPr bwMode="auto">
          <a:xfrm>
            <a:off x="1" y="442"/>
            <a:ext cx="11" cy="72"/>
            <a:chOff x="1" y="442"/>
            <a:chExt cx="11" cy="72"/>
          </a:xfrm>
        </xdr:grpSpPr>
        <xdr:sp macro="" textlink="">
          <xdr:nvSpPr>
            <xdr:cNvPr id="32" name="AutoShape 91"/>
            <xdr:cNvSpPr>
              <a:spLocks noChangeAspect="1" noChangeArrowheads="1"/>
            </xdr:cNvSpPr>
          </xdr:nvSpPr>
          <xdr:spPr bwMode="auto">
            <a:xfrm>
              <a:off x="1" y="44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3" name="AutoShape 92"/>
            <xdr:cNvSpPr>
              <a:spLocks noChangeAspect="1" noChangeArrowheads="1"/>
            </xdr:cNvSpPr>
          </xdr:nvSpPr>
          <xdr:spPr bwMode="auto">
            <a:xfrm>
              <a:off x="1" y="46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4" name="AutoShape 93"/>
            <xdr:cNvSpPr>
              <a:spLocks noChangeAspect="1" noChangeArrowheads="1"/>
            </xdr:cNvSpPr>
          </xdr:nvSpPr>
          <xdr:spPr bwMode="auto">
            <a:xfrm>
              <a:off x="1" y="48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5" name="AutoShape 94"/>
            <xdr:cNvSpPr>
              <a:spLocks noChangeAspect="1" noChangeArrowheads="1"/>
            </xdr:cNvSpPr>
          </xdr:nvSpPr>
          <xdr:spPr bwMode="auto">
            <a:xfrm>
              <a:off x="1" y="503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1" name="AutoShape 95"/>
          <xdr:cNvSpPr>
            <a:spLocks noChangeAspect="1" noChangeArrowheads="1"/>
          </xdr:cNvSpPr>
        </xdr:nvSpPr>
        <xdr:spPr bwMode="auto">
          <a:xfrm>
            <a:off x="1" y="523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228600</xdr:colOff>
      <xdr:row>54</xdr:row>
      <xdr:rowOff>0</xdr:rowOff>
    </xdr:from>
    <xdr:to>
      <xdr:col>4</xdr:col>
      <xdr:colOff>447675</xdr:colOff>
      <xdr:row>55</xdr:row>
      <xdr:rowOff>161925</xdr:rowOff>
    </xdr:to>
    <xdr:grpSp>
      <xdr:nvGrpSpPr>
        <xdr:cNvPr id="36" name="Group 96"/>
        <xdr:cNvGrpSpPr>
          <a:grpSpLocks/>
        </xdr:cNvGrpSpPr>
      </xdr:nvGrpSpPr>
      <xdr:grpSpPr bwMode="auto">
        <a:xfrm>
          <a:off x="3800475" y="11163300"/>
          <a:ext cx="219075" cy="361950"/>
          <a:chOff x="164" y="1104"/>
          <a:chExt cx="11" cy="31"/>
        </a:xfrm>
      </xdr:grpSpPr>
      <xdr:sp macro="" textlink="">
        <xdr:nvSpPr>
          <xdr:cNvPr id="37" name="AutoShape 97"/>
          <xdr:cNvSpPr>
            <a:spLocks noChangeAspect="1" noChangeArrowheads="1"/>
          </xdr:cNvSpPr>
        </xdr:nvSpPr>
        <xdr:spPr bwMode="auto">
          <a:xfrm>
            <a:off x="164" y="112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AutoShape 98"/>
          <xdr:cNvSpPr>
            <a:spLocks noChangeAspect="1" noChangeArrowheads="1"/>
          </xdr:cNvSpPr>
        </xdr:nvSpPr>
        <xdr:spPr bwMode="auto">
          <a:xfrm>
            <a:off x="164" y="110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495300</xdr:colOff>
      <xdr:row>39</xdr:row>
      <xdr:rowOff>38100</xdr:rowOff>
    </xdr:from>
    <xdr:to>
      <xdr:col>8</xdr:col>
      <xdr:colOff>647700</xdr:colOff>
      <xdr:row>39</xdr:row>
      <xdr:rowOff>180975</xdr:rowOff>
    </xdr:to>
    <xdr:sp macro="" textlink="">
      <xdr:nvSpPr>
        <xdr:cNvPr id="39" name="AutoShape 83"/>
        <xdr:cNvSpPr>
          <a:spLocks noChangeArrowheads="1"/>
        </xdr:cNvSpPr>
      </xdr:nvSpPr>
      <xdr:spPr bwMode="auto">
        <a:xfrm>
          <a:off x="8039100" y="8143875"/>
          <a:ext cx="1524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33</xdr:row>
      <xdr:rowOff>66675</xdr:rowOff>
    </xdr:from>
    <xdr:to>
      <xdr:col>0</xdr:col>
      <xdr:colOff>142875</xdr:colOff>
      <xdr:row>33</xdr:row>
      <xdr:rowOff>171450</xdr:rowOff>
    </xdr:to>
    <xdr:sp macro="" textlink="">
      <xdr:nvSpPr>
        <xdr:cNvPr id="40" name="AutoShape 62"/>
        <xdr:cNvSpPr>
          <a:spLocks noChangeAspect="1" noChangeArrowheads="1"/>
        </xdr:cNvSpPr>
      </xdr:nvSpPr>
      <xdr:spPr bwMode="auto">
        <a:xfrm>
          <a:off x="38100" y="6972300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10</xdr:row>
      <xdr:rowOff>38100</xdr:rowOff>
    </xdr:from>
    <xdr:to>
      <xdr:col>9</xdr:col>
      <xdr:colOff>514350</xdr:colOff>
      <xdr:row>10</xdr:row>
      <xdr:rowOff>161925</xdr:rowOff>
    </xdr:to>
    <xdr:sp macro="" textlink="">
      <xdr:nvSpPr>
        <xdr:cNvPr id="2" name="Rectangle 14"/>
        <xdr:cNvSpPr>
          <a:spLocks noChangeArrowheads="1"/>
        </xdr:cNvSpPr>
      </xdr:nvSpPr>
      <xdr:spPr bwMode="auto">
        <a:xfrm>
          <a:off x="5648325" y="1943100"/>
          <a:ext cx="2095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38100</xdr:colOff>
      <xdr:row>14</xdr:row>
      <xdr:rowOff>38100</xdr:rowOff>
    </xdr:from>
    <xdr:to>
      <xdr:col>7</xdr:col>
      <xdr:colOff>209550</xdr:colOff>
      <xdr:row>14</xdr:row>
      <xdr:rowOff>152400</xdr:rowOff>
    </xdr:to>
    <xdr:sp macro="" textlink="">
      <xdr:nvSpPr>
        <xdr:cNvPr id="3" name="Rectangle 15"/>
        <xdr:cNvSpPr>
          <a:spLocks noChangeArrowheads="1"/>
        </xdr:cNvSpPr>
      </xdr:nvSpPr>
      <xdr:spPr bwMode="auto">
        <a:xfrm>
          <a:off x="4248150" y="2705100"/>
          <a:ext cx="17145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38100</xdr:colOff>
      <xdr:row>14</xdr:row>
      <xdr:rowOff>57150</xdr:rowOff>
    </xdr:from>
    <xdr:to>
      <xdr:col>9</xdr:col>
      <xdr:colOff>247650</xdr:colOff>
      <xdr:row>14</xdr:row>
      <xdr:rowOff>180975</xdr:rowOff>
    </xdr:to>
    <xdr:sp macro="" textlink="">
      <xdr:nvSpPr>
        <xdr:cNvPr id="4" name="Rectangle 16"/>
        <xdr:cNvSpPr>
          <a:spLocks noChangeArrowheads="1"/>
        </xdr:cNvSpPr>
      </xdr:nvSpPr>
      <xdr:spPr bwMode="auto">
        <a:xfrm>
          <a:off x="5381625" y="2724150"/>
          <a:ext cx="2095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352425</xdr:colOff>
      <xdr:row>14</xdr:row>
      <xdr:rowOff>9525</xdr:rowOff>
    </xdr:from>
    <xdr:to>
      <xdr:col>10</xdr:col>
      <xdr:colOff>561975</xdr:colOff>
      <xdr:row>14</xdr:row>
      <xdr:rowOff>142875</xdr:rowOff>
    </xdr:to>
    <xdr:sp macro="" textlink="">
      <xdr:nvSpPr>
        <xdr:cNvPr id="5" name="Rectangle 17"/>
        <xdr:cNvSpPr>
          <a:spLocks noChangeArrowheads="1"/>
        </xdr:cNvSpPr>
      </xdr:nvSpPr>
      <xdr:spPr bwMode="auto">
        <a:xfrm>
          <a:off x="6305550" y="2676525"/>
          <a:ext cx="2095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466725</xdr:colOff>
      <xdr:row>15</xdr:row>
      <xdr:rowOff>38100</xdr:rowOff>
    </xdr:from>
    <xdr:to>
      <xdr:col>7</xdr:col>
      <xdr:colOff>104775</xdr:colOff>
      <xdr:row>15</xdr:row>
      <xdr:rowOff>161925</xdr:rowOff>
    </xdr:to>
    <xdr:sp macro="" textlink="">
      <xdr:nvSpPr>
        <xdr:cNvPr id="6" name="Rectangle 18"/>
        <xdr:cNvSpPr>
          <a:spLocks noChangeArrowheads="1"/>
        </xdr:cNvSpPr>
      </xdr:nvSpPr>
      <xdr:spPr bwMode="auto">
        <a:xfrm>
          <a:off x="4105275" y="2895600"/>
          <a:ext cx="2095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38100</xdr:colOff>
      <xdr:row>15</xdr:row>
      <xdr:rowOff>28575</xdr:rowOff>
    </xdr:from>
    <xdr:to>
      <xdr:col>8</xdr:col>
      <xdr:colOff>247650</xdr:colOff>
      <xdr:row>15</xdr:row>
      <xdr:rowOff>161925</xdr:rowOff>
    </xdr:to>
    <xdr:sp macro="" textlink="">
      <xdr:nvSpPr>
        <xdr:cNvPr id="7" name="Rectangle 19"/>
        <xdr:cNvSpPr>
          <a:spLocks noChangeArrowheads="1"/>
        </xdr:cNvSpPr>
      </xdr:nvSpPr>
      <xdr:spPr bwMode="auto">
        <a:xfrm>
          <a:off x="4857750" y="2886075"/>
          <a:ext cx="2095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409575</xdr:colOff>
      <xdr:row>15</xdr:row>
      <xdr:rowOff>28575</xdr:rowOff>
    </xdr:from>
    <xdr:to>
      <xdr:col>10</xdr:col>
      <xdr:colOff>9525</xdr:colOff>
      <xdr:row>15</xdr:row>
      <xdr:rowOff>152400</xdr:rowOff>
    </xdr:to>
    <xdr:sp macro="" textlink="">
      <xdr:nvSpPr>
        <xdr:cNvPr id="8" name="Rectangle 20"/>
        <xdr:cNvSpPr>
          <a:spLocks noChangeArrowheads="1"/>
        </xdr:cNvSpPr>
      </xdr:nvSpPr>
      <xdr:spPr bwMode="auto">
        <a:xfrm>
          <a:off x="5753100" y="2886075"/>
          <a:ext cx="2095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323850</xdr:colOff>
      <xdr:row>6</xdr:row>
      <xdr:rowOff>57150</xdr:rowOff>
    </xdr:from>
    <xdr:to>
      <xdr:col>7</xdr:col>
      <xdr:colOff>542925</xdr:colOff>
      <xdr:row>6</xdr:row>
      <xdr:rowOff>171450</xdr:rowOff>
    </xdr:to>
    <xdr:sp macro="" textlink="">
      <xdr:nvSpPr>
        <xdr:cNvPr id="9" name="Rectangle 54"/>
        <xdr:cNvSpPr>
          <a:spLocks noChangeArrowheads="1"/>
        </xdr:cNvSpPr>
      </xdr:nvSpPr>
      <xdr:spPr bwMode="auto">
        <a:xfrm>
          <a:off x="4533900" y="1200150"/>
          <a:ext cx="219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447675</xdr:colOff>
      <xdr:row>6</xdr:row>
      <xdr:rowOff>57150</xdr:rowOff>
    </xdr:from>
    <xdr:to>
      <xdr:col>10</xdr:col>
      <xdr:colOff>666750</xdr:colOff>
      <xdr:row>6</xdr:row>
      <xdr:rowOff>171450</xdr:rowOff>
    </xdr:to>
    <xdr:sp macro="" textlink="">
      <xdr:nvSpPr>
        <xdr:cNvPr id="10" name="Rectangle 55"/>
        <xdr:cNvSpPr>
          <a:spLocks noChangeArrowheads="1"/>
        </xdr:cNvSpPr>
      </xdr:nvSpPr>
      <xdr:spPr bwMode="auto">
        <a:xfrm>
          <a:off x="6400800" y="1200150"/>
          <a:ext cx="219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323850</xdr:colOff>
      <xdr:row>7</xdr:row>
      <xdr:rowOff>28575</xdr:rowOff>
    </xdr:from>
    <xdr:to>
      <xdr:col>7</xdr:col>
      <xdr:colOff>542925</xdr:colOff>
      <xdr:row>7</xdr:row>
      <xdr:rowOff>142875</xdr:rowOff>
    </xdr:to>
    <xdr:sp macro="" textlink="">
      <xdr:nvSpPr>
        <xdr:cNvPr id="11" name="Rectangle 56"/>
        <xdr:cNvSpPr>
          <a:spLocks noChangeArrowheads="1"/>
        </xdr:cNvSpPr>
      </xdr:nvSpPr>
      <xdr:spPr bwMode="auto">
        <a:xfrm>
          <a:off x="4533900" y="1362075"/>
          <a:ext cx="219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19050</xdr:colOff>
      <xdr:row>9</xdr:row>
      <xdr:rowOff>38100</xdr:rowOff>
    </xdr:from>
    <xdr:to>
      <xdr:col>8</xdr:col>
      <xdr:colOff>238125</xdr:colOff>
      <xdr:row>9</xdr:row>
      <xdr:rowOff>152400</xdr:rowOff>
    </xdr:to>
    <xdr:sp macro="" textlink="">
      <xdr:nvSpPr>
        <xdr:cNvPr id="12" name="Rectangle 57"/>
        <xdr:cNvSpPr>
          <a:spLocks noChangeArrowheads="1"/>
        </xdr:cNvSpPr>
      </xdr:nvSpPr>
      <xdr:spPr bwMode="auto">
        <a:xfrm>
          <a:off x="4838700" y="1752600"/>
          <a:ext cx="219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38100</xdr:colOff>
      <xdr:row>10</xdr:row>
      <xdr:rowOff>28575</xdr:rowOff>
    </xdr:from>
    <xdr:to>
      <xdr:col>8</xdr:col>
      <xdr:colOff>257175</xdr:colOff>
      <xdr:row>10</xdr:row>
      <xdr:rowOff>142875</xdr:rowOff>
    </xdr:to>
    <xdr:sp macro="" textlink="">
      <xdr:nvSpPr>
        <xdr:cNvPr id="13" name="Rectangle 58"/>
        <xdr:cNvSpPr>
          <a:spLocks noChangeArrowheads="1"/>
        </xdr:cNvSpPr>
      </xdr:nvSpPr>
      <xdr:spPr bwMode="auto">
        <a:xfrm>
          <a:off x="4857750" y="1933575"/>
          <a:ext cx="219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95250</xdr:colOff>
      <xdr:row>10</xdr:row>
      <xdr:rowOff>66675</xdr:rowOff>
    </xdr:from>
    <xdr:to>
      <xdr:col>2</xdr:col>
      <xdr:colOff>314325</xdr:colOff>
      <xdr:row>10</xdr:row>
      <xdr:rowOff>180975</xdr:rowOff>
    </xdr:to>
    <xdr:sp macro="" textlink="">
      <xdr:nvSpPr>
        <xdr:cNvPr id="14" name="Rectangle 59"/>
        <xdr:cNvSpPr>
          <a:spLocks noChangeArrowheads="1"/>
        </xdr:cNvSpPr>
      </xdr:nvSpPr>
      <xdr:spPr bwMode="auto">
        <a:xfrm>
          <a:off x="1266825" y="1971675"/>
          <a:ext cx="219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323850</xdr:colOff>
      <xdr:row>10</xdr:row>
      <xdr:rowOff>57150</xdr:rowOff>
    </xdr:from>
    <xdr:to>
      <xdr:col>3</xdr:col>
      <xdr:colOff>542925</xdr:colOff>
      <xdr:row>10</xdr:row>
      <xdr:rowOff>171450</xdr:rowOff>
    </xdr:to>
    <xdr:sp macro="" textlink="">
      <xdr:nvSpPr>
        <xdr:cNvPr id="15" name="Rectangle 60"/>
        <xdr:cNvSpPr>
          <a:spLocks noChangeArrowheads="1"/>
        </xdr:cNvSpPr>
      </xdr:nvSpPr>
      <xdr:spPr bwMode="auto">
        <a:xfrm>
          <a:off x="2047875" y="1962150"/>
          <a:ext cx="2190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381000</xdr:colOff>
      <xdr:row>10</xdr:row>
      <xdr:rowOff>57150</xdr:rowOff>
    </xdr:from>
    <xdr:to>
      <xdr:col>3</xdr:col>
      <xdr:colOff>504825</xdr:colOff>
      <xdr:row>10</xdr:row>
      <xdr:rowOff>161925</xdr:rowOff>
    </xdr:to>
    <xdr:grpSp>
      <xdr:nvGrpSpPr>
        <xdr:cNvPr id="16" name="Group 1"/>
        <xdr:cNvGrpSpPr>
          <a:grpSpLocks/>
        </xdr:cNvGrpSpPr>
      </xdr:nvGrpSpPr>
      <xdr:grpSpPr bwMode="auto">
        <a:xfrm>
          <a:off x="2105025" y="1962150"/>
          <a:ext cx="123825" cy="104775"/>
          <a:chOff x="417" y="119"/>
          <a:chExt cx="27" cy="17"/>
        </a:xfrm>
      </xdr:grpSpPr>
      <xdr:sp macro="" textlink="">
        <xdr:nvSpPr>
          <xdr:cNvPr id="17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95250</xdr:colOff>
      <xdr:row>15</xdr:row>
      <xdr:rowOff>47625</xdr:rowOff>
    </xdr:from>
    <xdr:to>
      <xdr:col>8</xdr:col>
      <xdr:colOff>219075</xdr:colOff>
      <xdr:row>15</xdr:row>
      <xdr:rowOff>152400</xdr:rowOff>
    </xdr:to>
    <xdr:grpSp>
      <xdr:nvGrpSpPr>
        <xdr:cNvPr id="19" name="Group 1"/>
        <xdr:cNvGrpSpPr>
          <a:grpSpLocks/>
        </xdr:cNvGrpSpPr>
      </xdr:nvGrpSpPr>
      <xdr:grpSpPr bwMode="auto">
        <a:xfrm>
          <a:off x="4914900" y="2905125"/>
          <a:ext cx="123825" cy="104775"/>
          <a:chOff x="417" y="119"/>
          <a:chExt cx="27" cy="17"/>
        </a:xfrm>
      </xdr:grpSpPr>
      <xdr:sp macro="" textlink="">
        <xdr:nvSpPr>
          <xdr:cNvPr id="20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19050</xdr:colOff>
      <xdr:row>9</xdr:row>
      <xdr:rowOff>38100</xdr:rowOff>
    </xdr:from>
    <xdr:to>
      <xdr:col>8</xdr:col>
      <xdr:colOff>142875</xdr:colOff>
      <xdr:row>9</xdr:row>
      <xdr:rowOff>142875</xdr:rowOff>
    </xdr:to>
    <xdr:grpSp>
      <xdr:nvGrpSpPr>
        <xdr:cNvPr id="22" name="Group 1"/>
        <xdr:cNvGrpSpPr>
          <a:grpSpLocks/>
        </xdr:cNvGrpSpPr>
      </xdr:nvGrpSpPr>
      <xdr:grpSpPr bwMode="auto">
        <a:xfrm>
          <a:off x="4838700" y="1752600"/>
          <a:ext cx="123825" cy="104775"/>
          <a:chOff x="417" y="119"/>
          <a:chExt cx="27" cy="17"/>
        </a:xfrm>
      </xdr:grpSpPr>
      <xdr:sp macro="" textlink="">
        <xdr:nvSpPr>
          <xdr:cNvPr id="23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9</xdr:col>
      <xdr:colOff>352425</xdr:colOff>
      <xdr:row>10</xdr:row>
      <xdr:rowOff>47625</xdr:rowOff>
    </xdr:from>
    <xdr:to>
      <xdr:col>9</xdr:col>
      <xdr:colOff>476250</xdr:colOff>
      <xdr:row>10</xdr:row>
      <xdr:rowOff>152400</xdr:rowOff>
    </xdr:to>
    <xdr:grpSp>
      <xdr:nvGrpSpPr>
        <xdr:cNvPr id="25" name="Group 1"/>
        <xdr:cNvGrpSpPr>
          <a:grpSpLocks/>
        </xdr:cNvGrpSpPr>
      </xdr:nvGrpSpPr>
      <xdr:grpSpPr bwMode="auto">
        <a:xfrm>
          <a:off x="5695950" y="1952625"/>
          <a:ext cx="123825" cy="104775"/>
          <a:chOff x="417" y="119"/>
          <a:chExt cx="27" cy="17"/>
        </a:xfrm>
      </xdr:grpSpPr>
      <xdr:sp macro="" textlink="">
        <xdr:nvSpPr>
          <xdr:cNvPr id="26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38100</xdr:colOff>
      <xdr:row>14</xdr:row>
      <xdr:rowOff>38100</xdr:rowOff>
    </xdr:from>
    <xdr:to>
      <xdr:col>7</xdr:col>
      <xdr:colOff>161925</xdr:colOff>
      <xdr:row>14</xdr:row>
      <xdr:rowOff>142875</xdr:rowOff>
    </xdr:to>
    <xdr:grpSp>
      <xdr:nvGrpSpPr>
        <xdr:cNvPr id="28" name="Group 1"/>
        <xdr:cNvGrpSpPr>
          <a:grpSpLocks/>
        </xdr:cNvGrpSpPr>
      </xdr:nvGrpSpPr>
      <xdr:grpSpPr bwMode="auto">
        <a:xfrm>
          <a:off x="4248150" y="2705100"/>
          <a:ext cx="123825" cy="104775"/>
          <a:chOff x="417" y="119"/>
          <a:chExt cx="27" cy="17"/>
        </a:xfrm>
      </xdr:grpSpPr>
      <xdr:sp macro="" textlink="">
        <xdr:nvSpPr>
          <xdr:cNvPr id="29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447675</xdr:colOff>
      <xdr:row>6</xdr:row>
      <xdr:rowOff>57150</xdr:rowOff>
    </xdr:from>
    <xdr:to>
      <xdr:col>10</xdr:col>
      <xdr:colOff>571500</xdr:colOff>
      <xdr:row>6</xdr:row>
      <xdr:rowOff>161925</xdr:rowOff>
    </xdr:to>
    <xdr:grpSp>
      <xdr:nvGrpSpPr>
        <xdr:cNvPr id="31" name="Group 1"/>
        <xdr:cNvGrpSpPr>
          <a:grpSpLocks/>
        </xdr:cNvGrpSpPr>
      </xdr:nvGrpSpPr>
      <xdr:grpSpPr bwMode="auto">
        <a:xfrm>
          <a:off x="6400800" y="1200150"/>
          <a:ext cx="123825" cy="104775"/>
          <a:chOff x="417" y="119"/>
          <a:chExt cx="27" cy="17"/>
        </a:xfrm>
      </xdr:grpSpPr>
      <xdr:sp macro="" textlink="">
        <xdr:nvSpPr>
          <xdr:cNvPr id="32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9526</xdr:colOff>
      <xdr:row>29</xdr:row>
      <xdr:rowOff>180975</xdr:rowOff>
    </xdr:from>
    <xdr:to>
      <xdr:col>10</xdr:col>
      <xdr:colOff>161926</xdr:colOff>
      <xdr:row>30</xdr:row>
      <xdr:rowOff>171450</xdr:rowOff>
    </xdr:to>
    <xdr:cxnSp macro="">
      <xdr:nvCxnSpPr>
        <xdr:cNvPr id="34" name="Straight Connector 33"/>
        <xdr:cNvCxnSpPr/>
      </xdr:nvCxnSpPr>
      <xdr:spPr>
        <a:xfrm rot="16200000" flipV="1">
          <a:off x="5948363" y="5719763"/>
          <a:ext cx="180975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85726</xdr:colOff>
      <xdr:row>30</xdr:row>
      <xdr:rowOff>142875</xdr:rowOff>
    </xdr:from>
    <xdr:to>
      <xdr:col>10</xdr:col>
      <xdr:colOff>76201</xdr:colOff>
      <xdr:row>33</xdr:row>
      <xdr:rowOff>171450</xdr:rowOff>
    </xdr:to>
    <xdr:cxnSp macro="">
      <xdr:nvCxnSpPr>
        <xdr:cNvPr id="35" name="Straight Arrow Connector 34"/>
        <xdr:cNvCxnSpPr/>
      </xdr:nvCxnSpPr>
      <xdr:spPr>
        <a:xfrm rot="10800000" flipV="1">
          <a:off x="5429251" y="5857875"/>
          <a:ext cx="600075" cy="619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37</xdr:row>
      <xdr:rowOff>38100</xdr:rowOff>
    </xdr:from>
    <xdr:to>
      <xdr:col>5</xdr:col>
      <xdr:colOff>95250</xdr:colOff>
      <xdr:row>37</xdr:row>
      <xdr:rowOff>152400</xdr:rowOff>
    </xdr:to>
    <xdr:sp macro="" textlink="">
      <xdr:nvSpPr>
        <xdr:cNvPr id="36" name="Rectangle 15"/>
        <xdr:cNvSpPr>
          <a:spLocks noChangeArrowheads="1"/>
        </xdr:cNvSpPr>
      </xdr:nvSpPr>
      <xdr:spPr bwMode="auto">
        <a:xfrm>
          <a:off x="2952750" y="7248525"/>
          <a:ext cx="17145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581025</xdr:colOff>
      <xdr:row>37</xdr:row>
      <xdr:rowOff>38100</xdr:rowOff>
    </xdr:from>
    <xdr:to>
      <xdr:col>5</xdr:col>
      <xdr:colOff>47625</xdr:colOff>
      <xdr:row>37</xdr:row>
      <xdr:rowOff>142875</xdr:rowOff>
    </xdr:to>
    <xdr:grpSp>
      <xdr:nvGrpSpPr>
        <xdr:cNvPr id="37" name="Group 1"/>
        <xdr:cNvGrpSpPr>
          <a:grpSpLocks/>
        </xdr:cNvGrpSpPr>
      </xdr:nvGrpSpPr>
      <xdr:grpSpPr bwMode="auto">
        <a:xfrm>
          <a:off x="2952750" y="7248525"/>
          <a:ext cx="123825" cy="104775"/>
          <a:chOff x="417" y="119"/>
          <a:chExt cx="27" cy="17"/>
        </a:xfrm>
      </xdr:grpSpPr>
      <xdr:sp macro="" textlink="">
        <xdr:nvSpPr>
          <xdr:cNvPr id="38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581025</xdr:colOff>
      <xdr:row>38</xdr:row>
      <xdr:rowOff>47625</xdr:rowOff>
    </xdr:from>
    <xdr:to>
      <xdr:col>5</xdr:col>
      <xdr:colOff>95250</xdr:colOff>
      <xdr:row>38</xdr:row>
      <xdr:rowOff>161925</xdr:rowOff>
    </xdr:to>
    <xdr:sp macro="" textlink="">
      <xdr:nvSpPr>
        <xdr:cNvPr id="40" name="Rectangle 15"/>
        <xdr:cNvSpPr>
          <a:spLocks noChangeArrowheads="1"/>
        </xdr:cNvSpPr>
      </xdr:nvSpPr>
      <xdr:spPr bwMode="auto">
        <a:xfrm>
          <a:off x="2952750" y="7448550"/>
          <a:ext cx="17145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581025</xdr:colOff>
      <xdr:row>38</xdr:row>
      <xdr:rowOff>47625</xdr:rowOff>
    </xdr:from>
    <xdr:to>
      <xdr:col>5</xdr:col>
      <xdr:colOff>47625</xdr:colOff>
      <xdr:row>38</xdr:row>
      <xdr:rowOff>152400</xdr:rowOff>
    </xdr:to>
    <xdr:grpSp>
      <xdr:nvGrpSpPr>
        <xdr:cNvPr id="41" name="Group 1"/>
        <xdr:cNvGrpSpPr>
          <a:grpSpLocks/>
        </xdr:cNvGrpSpPr>
      </xdr:nvGrpSpPr>
      <xdr:grpSpPr bwMode="auto">
        <a:xfrm>
          <a:off x="2952750" y="7448550"/>
          <a:ext cx="123825" cy="104775"/>
          <a:chOff x="417" y="119"/>
          <a:chExt cx="27" cy="17"/>
        </a:xfrm>
      </xdr:grpSpPr>
      <xdr:sp macro="" textlink="">
        <xdr:nvSpPr>
          <xdr:cNvPr id="42" name="Line 2"/>
          <xdr:cNvSpPr>
            <a:spLocks noChangeShapeType="1"/>
          </xdr:cNvSpPr>
        </xdr:nvSpPr>
        <xdr:spPr bwMode="auto">
          <a:xfrm>
            <a:off x="417" y="122"/>
            <a:ext cx="6" cy="11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Line 3"/>
          <xdr:cNvSpPr>
            <a:spLocks noChangeShapeType="1"/>
          </xdr:cNvSpPr>
        </xdr:nvSpPr>
        <xdr:spPr bwMode="auto">
          <a:xfrm flipV="1">
            <a:off x="424" y="119"/>
            <a:ext cx="20" cy="1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38100</xdr:rowOff>
    </xdr:from>
    <xdr:to>
      <xdr:col>7</xdr:col>
      <xdr:colOff>600075</xdr:colOff>
      <xdr:row>37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29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21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mit\budgets\bud%2098-99%20rev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4087\mmj\Mes%20documents\Fichier%20r&#233;ferences%20par%20ligne%20de%20press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avesh\dubey\Ramdhyan\MIS\misnew\Bsheet%20and%20MIS%20March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D\aaa\Tear%20Down\Suzuki%20Carry%20Tear%20Down\Cab,Frame%20&amp;%20Lb\anand%20cost%20she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jeswari\budget%200304\WINDOWS\TEMP\IncrediMail\WINDOWS\Desktop\Approved%20budgets%20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onam\Users\Documents%20and%20Settings\ADM802114\Local%20Settings\Temporary%20Internet%20Files\OLK5\ICR1010\Idea%20Bank%20electrical%20&amp;%20HVAC\Electrical%20Idea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M802114\Local%20Settings\Temporary%20Internet%20Files\OLK5\ICR1010\Idea%20Bank%20electrical%20&amp;%20HVAC\Electrical%20Idea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mpnefe01/Mes%20documents/Fichier%20r&#233;ferences%20par%20ligne%20de%20press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"/>
      <sheetName val="Summary"/>
      <sheetName val="Capacity"/>
      <sheetName val="discount"/>
      <sheetName val="P &amp; L"/>
      <sheetName val="BEP"/>
      <sheetName val="Fixed Assets"/>
      <sheetName val="Plant &amp; Mach"/>
      <sheetName val="Cash Flows"/>
      <sheetName val="BOM"/>
      <sheetName val="EXPENSES"/>
      <sheetName val="FI loan"/>
      <sheetName val="Balance Sheet"/>
      <sheetName val="Business Centre"/>
      <sheetName val="Taxation"/>
      <sheetName val="Loans"/>
      <sheetName val="Dialog Macro"/>
      <sheetName val="Scale"/>
      <sheetName val="Currency"/>
      <sheetName val="Vehicle Parts List"/>
      <sheetName val="cash flow-Uk"/>
      <sheetName val="#REF"/>
      <sheetName val="MOD ADD"/>
      <sheetName val="Sch1 - Summary P&amp;L"/>
      <sheetName val="Setup &amp; Validation"/>
      <sheetName val="LDP 50"/>
      <sheetName val="Analysis"/>
      <sheetName val="Statistics"/>
      <sheetName val="WC"/>
      <sheetName val="Presentation"/>
      <sheetName val="AR details"/>
      <sheetName val="working"/>
      <sheetName val="Projections"/>
      <sheetName val="working Capital Jan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DP 50"/>
      <sheetName val="3.SCHEDULES"/>
      <sheetName val="Sheet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eckpoints"/>
      <sheetName val="Data Entry sheet"/>
      <sheetName val="Final BS"/>
      <sheetName val="Cons BS"/>
      <sheetName val="WC "/>
      <sheetName val="WC Worksheet"/>
      <sheetName val="BS "/>
      <sheetName val="Schedule 3 (FA) "/>
      <sheetName val="Trial balance"/>
      <sheetName val="Schedule3 Fixed Assets"/>
      <sheetName val="ES Monthly"/>
      <sheetName val="ES Monthly Worksheet"/>
      <sheetName val="Ratios"/>
      <sheetName val="Summary P&amp;L"/>
      <sheetName val="Detailed P&amp;L"/>
      <sheetName val="Detailed Expenses"/>
      <sheetName val="Var. costs"/>
      <sheetName val="Var Cost Budget"/>
      <sheetName val="Interest reworking"/>
      <sheetName val="OVHD"/>
      <sheetName val="OVHD Budget"/>
      <sheetName val="HALOL"/>
      <sheetName val="Halol cr"/>
      <sheetName val="Halol dr"/>
      <sheetName val="Chakan"/>
      <sheetName val="Bhosari"/>
      <sheetName val="BS Bho"/>
      <sheetName val="BS Chk"/>
      <sheetName val="BS Hal"/>
      <sheetName val="BS Total"/>
      <sheetName val="Act vs Bud Bho"/>
      <sheetName val="Act vs Bud Chk"/>
      <sheetName val="Act vs Bud Hal"/>
      <sheetName val="Actuals vs budget Total"/>
      <sheetName val="Stock Debtors"/>
      <sheetName val="Book Debts"/>
      <sheetName val="Stock &amp; Book debts"/>
      <sheetName val="Un-audited results"/>
      <sheetName val="C1"/>
      <sheetName val="C2"/>
      <sheetName val="CBD"/>
      <sheetName val="MPBF-HDFC"/>
      <sheetName val="Percentages"/>
      <sheetName val="Full PBD"/>
      <sheetName val="rate"/>
      <sheetName val="Data_Entry_sheet"/>
      <sheetName val="Final_BS"/>
      <sheetName val="Cons_BS"/>
      <sheetName val="WC_"/>
      <sheetName val="WC_Worksheet"/>
      <sheetName val="BS_"/>
      <sheetName val="Schedule_3_(FA)_"/>
      <sheetName val="Trial_balance"/>
      <sheetName val="Schedule3_Fixed_Assets"/>
      <sheetName val="ES_Monthly"/>
      <sheetName val="ES_Monthly_Worksheet"/>
      <sheetName val="Summary_P&amp;L"/>
      <sheetName val="Detailed_P&amp;L"/>
      <sheetName val="Detailed_Expenses"/>
      <sheetName val="Var__costs"/>
      <sheetName val="Var_Cost_Budget"/>
      <sheetName val="Interest_reworking"/>
      <sheetName val="OVHD_Budget"/>
      <sheetName val="Halol_cr"/>
      <sheetName val="Halol_dr"/>
      <sheetName val="BS_Bho"/>
      <sheetName val="BS_Chk"/>
      <sheetName val="BS_Hal"/>
      <sheetName val="BS_Total"/>
      <sheetName val="Act_vs_Bud_Bho"/>
      <sheetName val="Act_vs_Bud_Chk"/>
      <sheetName val="Act_vs_Bud_Hal"/>
      <sheetName val="Actuals_vs_budget_Total"/>
      <sheetName val="Stock_Debtors"/>
      <sheetName val="Book_Debts"/>
      <sheetName val="Stock_&amp;_Book_debts"/>
      <sheetName val="Un-audited_results"/>
      <sheetName val="bobudget"/>
      <sheetName val="BOM"/>
      <sheetName val="Summary"/>
      <sheetName val="netmatl."/>
      <sheetName val="PL"/>
      <sheetName val="BalSht"/>
      <sheetName val="Tables"/>
      <sheetName val="KDS"/>
      <sheetName val="Setup"/>
      <sheetName val="STAGEIMPROV"/>
      <sheetName val="Inputs - ActFcst"/>
      <sheetName val="Legend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A10">
            <v>310</v>
          </cell>
          <cell r="B10" t="str">
            <v>* SUNDRY DEBTORS</v>
          </cell>
          <cell r="C10">
            <v>6557243.7199999997</v>
          </cell>
        </row>
        <row r="11">
          <cell r="B11" t="str">
            <v>* IMPREST WITH STAFF</v>
          </cell>
          <cell r="C11">
            <v>0</v>
          </cell>
        </row>
        <row r="12">
          <cell r="A12">
            <v>610</v>
          </cell>
          <cell r="B12" t="str">
            <v>* ADVANCE TO SUPPLIER</v>
          </cell>
          <cell r="C12">
            <v>0</v>
          </cell>
        </row>
        <row r="13">
          <cell r="A13">
            <v>640</v>
          </cell>
          <cell r="B13" t="str">
            <v>* ADVANCE AGST. SALARY/LTA/TOUR</v>
          </cell>
          <cell r="C13">
            <v>186612</v>
          </cell>
        </row>
        <row r="14">
          <cell r="A14">
            <v>2520</v>
          </cell>
          <cell r="B14" t="str">
            <v>* SUNDRY CREDITORS</v>
          </cell>
          <cell r="D14">
            <v>37568679.759999998</v>
          </cell>
        </row>
        <row r="15">
          <cell r="A15">
            <v>8152</v>
          </cell>
          <cell r="B15" t="str">
            <v>ADM CHARGES INSURANCE FUND</v>
          </cell>
          <cell r="C15">
            <v>172</v>
          </cell>
        </row>
        <row r="16">
          <cell r="A16">
            <v>8154</v>
          </cell>
          <cell r="B16" t="str">
            <v>ADMINISTRITIVE &amp; OTHER CHARGES-PF</v>
          </cell>
          <cell r="C16">
            <v>16052</v>
          </cell>
        </row>
        <row r="17">
          <cell r="A17">
            <v>175</v>
          </cell>
          <cell r="B17" t="str">
            <v>AIR CONDITIONERS  (OP.BAL.)</v>
          </cell>
          <cell r="C17">
            <v>146683</v>
          </cell>
        </row>
        <row r="18">
          <cell r="A18">
            <v>1175</v>
          </cell>
          <cell r="B18" t="str">
            <v>AIR CONDITIONERS (ADD)</v>
          </cell>
          <cell r="C18">
            <v>32100</v>
          </cell>
        </row>
        <row r="19">
          <cell r="A19">
            <v>8640</v>
          </cell>
          <cell r="B19" t="str">
            <v>BANK CHARGES</v>
          </cell>
          <cell r="C19">
            <v>102783</v>
          </cell>
        </row>
        <row r="20">
          <cell r="A20">
            <v>523</v>
          </cell>
          <cell r="B20" t="str">
            <v>BANK OF BARODA HALOL</v>
          </cell>
          <cell r="C20">
            <v>92173.45</v>
          </cell>
        </row>
        <row r="21">
          <cell r="A21">
            <v>154</v>
          </cell>
          <cell r="B21" t="str">
            <v>BINS  (OP.BAL.)</v>
          </cell>
          <cell r="C21">
            <v>593602.55000000005</v>
          </cell>
        </row>
        <row r="22">
          <cell r="A22">
            <v>1154</v>
          </cell>
          <cell r="B22" t="str">
            <v>BINS (ADD)</v>
          </cell>
          <cell r="C22">
            <v>101386</v>
          </cell>
        </row>
        <row r="23">
          <cell r="A23">
            <v>8135</v>
          </cell>
          <cell r="B23" t="str">
            <v>BONUS</v>
          </cell>
          <cell r="C23">
            <v>46876</v>
          </cell>
        </row>
        <row r="24">
          <cell r="A24">
            <v>8510</v>
          </cell>
          <cell r="B24" t="str">
            <v>BOOKS &amp; PERIODICAL (MISC.)</v>
          </cell>
          <cell r="C24">
            <v>1925</v>
          </cell>
        </row>
        <row r="25">
          <cell r="A25">
            <v>8119</v>
          </cell>
          <cell r="B25" t="str">
            <v>BOOKS &amp; PERIODICALS</v>
          </cell>
          <cell r="C25">
            <v>76408</v>
          </cell>
        </row>
        <row r="26">
          <cell r="A26">
            <v>8548</v>
          </cell>
          <cell r="B26" t="str">
            <v>BUSINESS PROMOTION</v>
          </cell>
          <cell r="C26">
            <v>12539.14</v>
          </cell>
        </row>
        <row r="27">
          <cell r="A27">
            <v>130</v>
          </cell>
          <cell r="B27" t="str">
            <v>CAPITAL WORK IN PROGRESS</v>
          </cell>
          <cell r="C27">
            <v>237684.09</v>
          </cell>
        </row>
        <row r="28">
          <cell r="A28">
            <v>510</v>
          </cell>
          <cell r="B28" t="str">
            <v>CASH</v>
          </cell>
          <cell r="C28">
            <v>14273</v>
          </cell>
        </row>
        <row r="29">
          <cell r="A29">
            <v>8114</v>
          </cell>
          <cell r="B29" t="str">
            <v>CHILDREN EDUCATION ALLOWANCE.</v>
          </cell>
          <cell r="C29">
            <v>76408</v>
          </cell>
        </row>
        <row r="30">
          <cell r="A30">
            <v>172</v>
          </cell>
          <cell r="B30" t="str">
            <v>COMPUTER  (OP.BAL.)</v>
          </cell>
          <cell r="C30">
            <v>345467</v>
          </cell>
        </row>
        <row r="31">
          <cell r="A31">
            <v>1172</v>
          </cell>
          <cell r="B31" t="str">
            <v>COMPUTER (ADD)</v>
          </cell>
          <cell r="C31">
            <v>167400</v>
          </cell>
        </row>
        <row r="32">
          <cell r="A32">
            <v>6232</v>
          </cell>
          <cell r="B32" t="str">
            <v>CONS. STORES -PAINT &amp; SPARY</v>
          </cell>
          <cell r="C32">
            <v>15414</v>
          </cell>
        </row>
        <row r="33">
          <cell r="A33">
            <v>6231</v>
          </cell>
          <cell r="B33" t="str">
            <v>CONS. STORES -SPARES &amp; WELDING</v>
          </cell>
          <cell r="C33">
            <v>144460.9</v>
          </cell>
        </row>
        <row r="34">
          <cell r="A34">
            <v>6235</v>
          </cell>
          <cell r="B34" t="str">
            <v>CONS. STORES SAFETY ITEMS</v>
          </cell>
          <cell r="C34">
            <v>138431</v>
          </cell>
        </row>
        <row r="35">
          <cell r="A35">
            <v>6230</v>
          </cell>
          <cell r="B35" t="str">
            <v>CONS. STORES-OIL,LUB. &amp; FUEL</v>
          </cell>
          <cell r="C35">
            <v>481080.44</v>
          </cell>
        </row>
        <row r="36">
          <cell r="A36">
            <v>6236</v>
          </cell>
          <cell r="B36" t="str">
            <v>CONSUMABLES STORE - ELECTRICAL</v>
          </cell>
          <cell r="C36">
            <v>67433</v>
          </cell>
        </row>
        <row r="37">
          <cell r="A37">
            <v>6233</v>
          </cell>
          <cell r="B37" t="str">
            <v>CONSUMABLES STORES (HARDWARE)</v>
          </cell>
          <cell r="C37">
            <v>36357</v>
          </cell>
        </row>
        <row r="38">
          <cell r="A38">
            <v>6234</v>
          </cell>
          <cell r="B38" t="str">
            <v>CONSUMABLES STORES - OTHERS</v>
          </cell>
          <cell r="C38">
            <v>25631.75</v>
          </cell>
        </row>
        <row r="39">
          <cell r="A39">
            <v>2628</v>
          </cell>
          <cell r="B39" t="str">
            <v>CONTRACT WORKER'S WAGE PAYABLE</v>
          </cell>
          <cell r="D39">
            <v>8567</v>
          </cell>
        </row>
        <row r="40">
          <cell r="A40">
            <v>8350</v>
          </cell>
          <cell r="B40" t="str">
            <v>CONVEYANCE</v>
          </cell>
          <cell r="C40">
            <v>42796</v>
          </cell>
        </row>
        <row r="41">
          <cell r="A41">
            <v>8128</v>
          </cell>
          <cell r="B41" t="str">
            <v>CONVEYANCE ALLOWANCE</v>
          </cell>
          <cell r="C41">
            <v>147734</v>
          </cell>
        </row>
        <row r="42">
          <cell r="A42">
            <v>2640</v>
          </cell>
          <cell r="B42" t="str">
            <v>CST PAYBLE - 4%</v>
          </cell>
          <cell r="D42">
            <v>1004176.5</v>
          </cell>
        </row>
        <row r="43">
          <cell r="A43">
            <v>8580</v>
          </cell>
          <cell r="B43" t="str">
            <v>DEFFERED REVENUE EXP.WRITE OFF</v>
          </cell>
          <cell r="C43">
            <v>474144</v>
          </cell>
        </row>
        <row r="44">
          <cell r="A44">
            <v>710</v>
          </cell>
          <cell r="B44" t="str">
            <v>DEFFERRED REVENUE EXPENDITURE</v>
          </cell>
          <cell r="C44">
            <v>689676</v>
          </cell>
        </row>
        <row r="45">
          <cell r="A45">
            <v>2875</v>
          </cell>
          <cell r="B45" t="str">
            <v>DEPR.RES.AIR CONDITIONERS</v>
          </cell>
          <cell r="D45">
            <v>24006</v>
          </cell>
        </row>
        <row r="46">
          <cell r="A46">
            <v>2854</v>
          </cell>
          <cell r="B46" t="str">
            <v>DEPR.RES.BINS</v>
          </cell>
          <cell r="D46">
            <v>542393</v>
          </cell>
        </row>
        <row r="47">
          <cell r="A47">
            <v>2872</v>
          </cell>
          <cell r="B47" t="str">
            <v>DEPR.RES.COMPUTER</v>
          </cell>
          <cell r="D47">
            <v>247176</v>
          </cell>
        </row>
        <row r="48">
          <cell r="A48">
            <v>2855</v>
          </cell>
          <cell r="B48" t="str">
            <v>DEPR.RES.ELECTRIC INSTALLATION</v>
          </cell>
          <cell r="D48">
            <v>702230</v>
          </cell>
        </row>
        <row r="49">
          <cell r="A49">
            <v>2856</v>
          </cell>
          <cell r="B49" t="str">
            <v>DEPR.RES.ELECTRICAL FITTINGS</v>
          </cell>
          <cell r="D49">
            <v>295955</v>
          </cell>
        </row>
        <row r="50">
          <cell r="A50">
            <v>2840</v>
          </cell>
          <cell r="B50" t="str">
            <v>DEPR.RES.FACTORY BUILDING</v>
          </cell>
          <cell r="D50">
            <v>4731910</v>
          </cell>
        </row>
        <row r="51">
          <cell r="A51">
            <v>2880</v>
          </cell>
          <cell r="B51" t="str">
            <v>DEPR.RES.FURNITURE &amp; FIXTURE</v>
          </cell>
          <cell r="D51">
            <v>194261</v>
          </cell>
        </row>
        <row r="52">
          <cell r="A52">
            <v>2870</v>
          </cell>
          <cell r="B52" t="str">
            <v>DEPR.RES.OFFICE EQUIPEMENT</v>
          </cell>
          <cell r="D52">
            <v>30057</v>
          </cell>
        </row>
        <row r="53">
          <cell r="A53">
            <v>2853</v>
          </cell>
          <cell r="B53" t="str">
            <v>DEPR.RES.PLANT &amp; MACHINERY</v>
          </cell>
          <cell r="D53">
            <v>23439039</v>
          </cell>
        </row>
        <row r="54">
          <cell r="A54">
            <v>2860</v>
          </cell>
          <cell r="B54" t="str">
            <v>DEPR.RES.TOOLS,JIGS &amp; FIXTURES</v>
          </cell>
          <cell r="D54">
            <v>144324</v>
          </cell>
        </row>
        <row r="55">
          <cell r="A55">
            <v>2890</v>
          </cell>
          <cell r="B55" t="str">
            <v>DEPR.RES.VEHICLES</v>
          </cell>
          <cell r="D55">
            <v>112440</v>
          </cell>
        </row>
        <row r="56">
          <cell r="A56">
            <v>8670</v>
          </cell>
          <cell r="B56" t="str">
            <v>DEPRECIATION</v>
          </cell>
          <cell r="C56">
            <v>5768277</v>
          </cell>
        </row>
        <row r="57">
          <cell r="A57">
            <v>8541</v>
          </cell>
          <cell r="B57" t="str">
            <v>DIWALI EXPENSES</v>
          </cell>
          <cell r="C57">
            <v>36125</v>
          </cell>
        </row>
        <row r="58">
          <cell r="A58">
            <v>8153</v>
          </cell>
          <cell r="B58" t="str">
            <v>EDLI</v>
          </cell>
          <cell r="C58">
            <v>7296</v>
          </cell>
        </row>
        <row r="59">
          <cell r="A59">
            <v>155</v>
          </cell>
          <cell r="B59" t="str">
            <v>ELECTRIC INSTALLATION  (OP.BAL.)</v>
          </cell>
          <cell r="C59">
            <v>2995554.08</v>
          </cell>
        </row>
        <row r="60">
          <cell r="A60">
            <v>156</v>
          </cell>
          <cell r="B60" t="str">
            <v>ELECTRICAL FITTINGS  (OP.BAL.)</v>
          </cell>
          <cell r="C60">
            <v>545889.18999999994</v>
          </cell>
        </row>
        <row r="61">
          <cell r="A61">
            <v>1156</v>
          </cell>
          <cell r="B61" t="str">
            <v>ELECTRICAL FITTINGS (ADD)</v>
          </cell>
          <cell r="C61">
            <v>26280</v>
          </cell>
        </row>
        <row r="62">
          <cell r="A62">
            <v>7140</v>
          </cell>
          <cell r="B62" t="str">
            <v>ELECTRICITY EXPENSES</v>
          </cell>
          <cell r="C62">
            <v>3915399.56</v>
          </cell>
        </row>
        <row r="63">
          <cell r="A63">
            <v>8151</v>
          </cell>
          <cell r="B63" t="str">
            <v>EMPLOYER'S CONTRIBUTION TO FPF</v>
          </cell>
          <cell r="C63">
            <v>110305</v>
          </cell>
        </row>
        <row r="64">
          <cell r="A64">
            <v>8150</v>
          </cell>
          <cell r="B64" t="str">
            <v>EMPLOYER'S CONTRIBUTION TO PF</v>
          </cell>
          <cell r="C64">
            <v>65401</v>
          </cell>
        </row>
        <row r="65">
          <cell r="A65">
            <v>8547</v>
          </cell>
          <cell r="B65" t="str">
            <v>ENTERTAINMENT</v>
          </cell>
          <cell r="C65">
            <v>5234</v>
          </cell>
        </row>
        <row r="66">
          <cell r="A66">
            <v>7130</v>
          </cell>
          <cell r="B66" t="str">
            <v>EXCISE DUTY PAID</v>
          </cell>
          <cell r="C66">
            <v>26488313</v>
          </cell>
        </row>
        <row r="67">
          <cell r="A67">
            <v>2664</v>
          </cell>
          <cell r="B67" t="str">
            <v>EXCISE DUTY RECOVERABLE A/C</v>
          </cell>
          <cell r="C67">
            <v>91863.99</v>
          </cell>
        </row>
        <row r="68">
          <cell r="A68">
            <v>4612</v>
          </cell>
          <cell r="B68" t="str">
            <v>EXCISE DUTY RECOVERD - SCRAP</v>
          </cell>
          <cell r="D68">
            <v>2446581.96</v>
          </cell>
        </row>
        <row r="69">
          <cell r="A69">
            <v>4611</v>
          </cell>
          <cell r="B69" t="str">
            <v>EXCISE DUTY RECOVERD - STOCK TRF.</v>
          </cell>
          <cell r="D69">
            <v>19969207.66</v>
          </cell>
        </row>
        <row r="70">
          <cell r="A70">
            <v>4610</v>
          </cell>
          <cell r="B70" t="str">
            <v>EXCISE DUTY RECOVERED (FIN.GOODS)</v>
          </cell>
          <cell r="D70">
            <v>3714733.76</v>
          </cell>
        </row>
        <row r="71">
          <cell r="A71">
            <v>4613</v>
          </cell>
          <cell r="B71" t="str">
            <v>EXCISE DUTY RECOVERED - TOOL &amp; DIES</v>
          </cell>
          <cell r="D71">
            <v>72000</v>
          </cell>
        </row>
        <row r="72">
          <cell r="A72">
            <v>4614</v>
          </cell>
          <cell r="B72" t="str">
            <v>EXCISE DUTY RECOVERRED-JOB WORK</v>
          </cell>
          <cell r="D72">
            <v>392993.61</v>
          </cell>
        </row>
        <row r="73">
          <cell r="A73">
            <v>2660</v>
          </cell>
          <cell r="B73" t="str">
            <v>EXPENSES PAYABLE</v>
          </cell>
          <cell r="D73">
            <v>1128257.0900000001</v>
          </cell>
        </row>
        <row r="74">
          <cell r="A74">
            <v>140</v>
          </cell>
          <cell r="B74" t="str">
            <v>FACTORY BUILDING  (OP.BAL.)</v>
          </cell>
          <cell r="C74">
            <v>27547182.09</v>
          </cell>
        </row>
        <row r="75">
          <cell r="A75">
            <v>1140</v>
          </cell>
          <cell r="B75" t="str">
            <v>FACTORY BUILDING (ADD)</v>
          </cell>
          <cell r="C75">
            <v>2851372</v>
          </cell>
        </row>
        <row r="76">
          <cell r="A76">
            <v>8420</v>
          </cell>
          <cell r="B76" t="str">
            <v>FREIGHT &amp; CARTAGE (OUT WARD)</v>
          </cell>
          <cell r="C76">
            <v>2440066.5</v>
          </cell>
        </row>
        <row r="77">
          <cell r="A77">
            <v>6280</v>
          </cell>
          <cell r="B77" t="str">
            <v>FREIGHT INWARD</v>
          </cell>
          <cell r="C77">
            <v>227522</v>
          </cell>
        </row>
        <row r="78">
          <cell r="A78">
            <v>180</v>
          </cell>
          <cell r="B78" t="str">
            <v>FURNITURE &amp; FIXTURE  (OP.BAL.)</v>
          </cell>
          <cell r="C78">
            <v>305089.5</v>
          </cell>
        </row>
        <row r="79">
          <cell r="A79">
            <v>1180</v>
          </cell>
          <cell r="B79" t="str">
            <v>FURNITURE &amp; FIXTURE (ADD)</v>
          </cell>
          <cell r="C79">
            <v>113314</v>
          </cell>
        </row>
        <row r="80">
          <cell r="A80">
            <v>8542</v>
          </cell>
          <cell r="B80" t="str">
            <v>GARDENING EXPENSES</v>
          </cell>
          <cell r="C80">
            <v>14318</v>
          </cell>
        </row>
        <row r="81">
          <cell r="A81">
            <v>2621</v>
          </cell>
          <cell r="B81" t="str">
            <v>GRATUITY PAYBLE</v>
          </cell>
          <cell r="D81">
            <v>51624</v>
          </cell>
        </row>
        <row r="82">
          <cell r="A82">
            <v>8111</v>
          </cell>
          <cell r="B82" t="str">
            <v>HOUSE RENT ALLOWANCE</v>
          </cell>
          <cell r="C82">
            <v>548095</v>
          </cell>
        </row>
        <row r="83">
          <cell r="A83">
            <v>522</v>
          </cell>
          <cell r="B83" t="str">
            <v>ICICI BANKING CORP.LTD, BARODA</v>
          </cell>
          <cell r="C83">
            <v>272425.15000000002</v>
          </cell>
        </row>
        <row r="84">
          <cell r="A84">
            <v>8260</v>
          </cell>
          <cell r="B84" t="str">
            <v>INSURANCE PREMIUM</v>
          </cell>
          <cell r="C84">
            <v>364962</v>
          </cell>
        </row>
        <row r="85">
          <cell r="A85">
            <v>8610</v>
          </cell>
          <cell r="B85" t="str">
            <v>INTEREST ON CASH CREDIT</v>
          </cell>
          <cell r="C85">
            <v>607097.44999999995</v>
          </cell>
        </row>
        <row r="86">
          <cell r="A86">
            <v>8622</v>
          </cell>
          <cell r="B86" t="str">
            <v>INTEREST ON FOREN CURRENCY</v>
          </cell>
          <cell r="C86">
            <v>165739</v>
          </cell>
        </row>
        <row r="87">
          <cell r="A87">
            <v>8631</v>
          </cell>
          <cell r="B87" t="str">
            <v>INTEREST ON ICD</v>
          </cell>
          <cell r="C87">
            <v>1717394</v>
          </cell>
        </row>
        <row r="88">
          <cell r="A88">
            <v>8620</v>
          </cell>
          <cell r="B88" t="str">
            <v>INTEREST ON TERM LOAN A/C</v>
          </cell>
          <cell r="C88">
            <v>4947155.97</v>
          </cell>
        </row>
        <row r="89">
          <cell r="A89">
            <v>8632</v>
          </cell>
          <cell r="B89" t="str">
            <v>INTEREST ON WORKING CAPITAL LOAN</v>
          </cell>
          <cell r="C89">
            <v>115501.56</v>
          </cell>
        </row>
        <row r="90">
          <cell r="A90">
            <v>9116</v>
          </cell>
          <cell r="B90" t="str">
            <v>JBM TOOLS LTD BHOSARI</v>
          </cell>
          <cell r="D90">
            <v>215837100.74000001</v>
          </cell>
        </row>
        <row r="91">
          <cell r="A91">
            <v>9117</v>
          </cell>
          <cell r="B91" t="str">
            <v>JBM TOOLS LTD CHAKAN</v>
          </cell>
          <cell r="C91">
            <v>150293964.78</v>
          </cell>
        </row>
        <row r="92">
          <cell r="A92">
            <v>7110</v>
          </cell>
          <cell r="B92" t="str">
            <v>JOB EXPENSES</v>
          </cell>
          <cell r="C92">
            <v>39335</v>
          </cell>
        </row>
        <row r="93">
          <cell r="A93">
            <v>4140</v>
          </cell>
          <cell r="B93" t="str">
            <v>JOB WORK</v>
          </cell>
          <cell r="D93">
            <v>774278.93</v>
          </cell>
        </row>
        <row r="94">
          <cell r="A94">
            <v>8131</v>
          </cell>
          <cell r="B94" t="str">
            <v>L T A</v>
          </cell>
          <cell r="C94">
            <v>119101</v>
          </cell>
        </row>
        <row r="95">
          <cell r="A95">
            <v>2649</v>
          </cell>
          <cell r="B95" t="str">
            <v>L.S.T. PAYABLE</v>
          </cell>
          <cell r="D95">
            <v>1177552.76</v>
          </cell>
        </row>
        <row r="96">
          <cell r="A96">
            <v>120</v>
          </cell>
          <cell r="B96" t="str">
            <v>LAND (OP.BAL.)</v>
          </cell>
          <cell r="C96">
            <v>690850</v>
          </cell>
        </row>
        <row r="97">
          <cell r="A97">
            <v>2662</v>
          </cell>
          <cell r="B97" t="str">
            <v>LEAVE ENCASHMENT PAYABLE</v>
          </cell>
          <cell r="D97">
            <v>18940</v>
          </cell>
        </row>
        <row r="98">
          <cell r="A98">
            <v>8560</v>
          </cell>
          <cell r="B98" t="str">
            <v>LEGAL &amp; PROFFESSIONAL CHARGES</v>
          </cell>
          <cell r="C98">
            <v>158285</v>
          </cell>
        </row>
        <row r="99">
          <cell r="A99">
            <v>2648</v>
          </cell>
          <cell r="B99" t="str">
            <v>LST PAYBLE - .25% AND OTHERRS</v>
          </cell>
          <cell r="D99">
            <v>114075.82</v>
          </cell>
        </row>
        <row r="100">
          <cell r="A100">
            <v>2641</v>
          </cell>
          <cell r="B100" t="str">
            <v>LST PAYBLE - 4%</v>
          </cell>
          <cell r="D100">
            <v>368701.71</v>
          </cell>
        </row>
        <row r="101">
          <cell r="A101">
            <v>2642</v>
          </cell>
          <cell r="B101" t="str">
            <v>LST PAYBLE - 8%</v>
          </cell>
          <cell r="D101">
            <v>76652.800000000003</v>
          </cell>
        </row>
        <row r="102">
          <cell r="A102">
            <v>8134</v>
          </cell>
          <cell r="B102" t="str">
            <v>MEDICAL EXPENSES</v>
          </cell>
          <cell r="C102">
            <v>132183</v>
          </cell>
        </row>
        <row r="103">
          <cell r="A103">
            <v>8559</v>
          </cell>
          <cell r="B103" t="str">
            <v>MISC. EXPENSES</v>
          </cell>
          <cell r="C103">
            <v>103319.14</v>
          </cell>
        </row>
        <row r="104">
          <cell r="A104">
            <v>170</v>
          </cell>
          <cell r="B104" t="str">
            <v>OFFICE EQUIPEMENT  (OP.BAL.)</v>
          </cell>
          <cell r="C104">
            <v>134084.5</v>
          </cell>
        </row>
        <row r="105">
          <cell r="A105">
            <v>1170</v>
          </cell>
          <cell r="B105" t="str">
            <v>OFFICE EQUIPEMENT (ADD)</v>
          </cell>
          <cell r="C105">
            <v>15549</v>
          </cell>
        </row>
        <row r="106">
          <cell r="A106">
            <v>6141</v>
          </cell>
          <cell r="B106" t="str">
            <v>OP. STOCK  STORES AND CONSUMABLES</v>
          </cell>
          <cell r="C106">
            <v>70138</v>
          </cell>
        </row>
        <row r="107">
          <cell r="A107">
            <v>6130</v>
          </cell>
          <cell r="B107" t="str">
            <v>OPENING STOCK -FINISHED GOODS</v>
          </cell>
          <cell r="C107">
            <v>774098</v>
          </cell>
        </row>
        <row r="108">
          <cell r="A108">
            <v>6110</v>
          </cell>
          <cell r="B108" t="str">
            <v>OPENING STOCK -RAW MATERIAL SHEET</v>
          </cell>
          <cell r="C108">
            <v>5477423</v>
          </cell>
        </row>
        <row r="109">
          <cell r="A109">
            <v>6150</v>
          </cell>
          <cell r="B109" t="str">
            <v>OPENING STOCK SCRAP</v>
          </cell>
          <cell r="C109">
            <v>857119</v>
          </cell>
        </row>
        <row r="110">
          <cell r="A110">
            <v>6140</v>
          </cell>
          <cell r="B110" t="str">
            <v>OPENING STOCK-SPARES</v>
          </cell>
          <cell r="C110">
            <v>128686</v>
          </cell>
        </row>
        <row r="111">
          <cell r="A111">
            <v>6120</v>
          </cell>
          <cell r="B111" t="str">
            <v>OPENING WORK IN PROCESS</v>
          </cell>
          <cell r="C111">
            <v>615417</v>
          </cell>
        </row>
        <row r="112">
          <cell r="A112">
            <v>6111</v>
          </cell>
          <cell r="B112" t="str">
            <v>OPNG. STOCK-RAWMATERIAL COMPONENT</v>
          </cell>
          <cell r="C112">
            <v>44746</v>
          </cell>
        </row>
        <row r="113">
          <cell r="A113">
            <v>2620</v>
          </cell>
          <cell r="B113" t="str">
            <v>P.F. PAYABLE</v>
          </cell>
          <cell r="D113">
            <v>45630</v>
          </cell>
        </row>
        <row r="114">
          <cell r="A114">
            <v>8430</v>
          </cell>
          <cell r="B114" t="str">
            <v>PACKING MATERIAL</v>
          </cell>
          <cell r="C114">
            <v>708473</v>
          </cell>
        </row>
        <row r="115">
          <cell r="A115">
            <v>664</v>
          </cell>
          <cell r="B115" t="str">
            <v>PLA</v>
          </cell>
          <cell r="C115">
            <v>50000</v>
          </cell>
        </row>
        <row r="116">
          <cell r="A116">
            <v>153</v>
          </cell>
          <cell r="B116" t="str">
            <v>PLANT &amp; MACHINERY  (OP.BAL.)</v>
          </cell>
          <cell r="C116">
            <v>81017388.299999997</v>
          </cell>
        </row>
        <row r="117">
          <cell r="A117">
            <v>1153</v>
          </cell>
          <cell r="B117" t="str">
            <v>PLANT &amp; MACHINERY (ADD)</v>
          </cell>
          <cell r="C117">
            <v>1799649</v>
          </cell>
        </row>
        <row r="118">
          <cell r="A118">
            <v>8250</v>
          </cell>
          <cell r="B118" t="str">
            <v>POSTAGE,TELEGRAM &amp; TELEPHONES</v>
          </cell>
          <cell r="C118">
            <v>311545.90999999997</v>
          </cell>
        </row>
        <row r="119">
          <cell r="A119">
            <v>620</v>
          </cell>
          <cell r="B119" t="str">
            <v>PRE-PAID EXPENSES</v>
          </cell>
          <cell r="C119">
            <v>280179</v>
          </cell>
        </row>
        <row r="120">
          <cell r="A120">
            <v>8280</v>
          </cell>
          <cell r="B120" t="str">
            <v>PRINTING &amp; STATIONERY</v>
          </cell>
          <cell r="C120">
            <v>157202</v>
          </cell>
        </row>
        <row r="121">
          <cell r="A121">
            <v>2646</v>
          </cell>
          <cell r="B121" t="str">
            <v>PROFESSIONAL TAX PAYABLE</v>
          </cell>
          <cell r="D121">
            <v>828</v>
          </cell>
        </row>
        <row r="122">
          <cell r="A122">
            <v>8232</v>
          </cell>
          <cell r="B122" t="str">
            <v>PROFFESIONAL TAX</v>
          </cell>
          <cell r="C122">
            <v>1000</v>
          </cell>
        </row>
        <row r="123">
          <cell r="A123">
            <v>2148</v>
          </cell>
          <cell r="B123" t="str">
            <v>PROFIT &amp; LOSS ACCOUNT</v>
          </cell>
          <cell r="C123">
            <v>17117990.77</v>
          </cell>
        </row>
        <row r="124">
          <cell r="A124">
            <v>2570</v>
          </cell>
          <cell r="B124" t="str">
            <v>PROVISION FOR LIABILITIES</v>
          </cell>
          <cell r="D124">
            <v>10173</v>
          </cell>
        </row>
        <row r="125">
          <cell r="A125">
            <v>2653</v>
          </cell>
          <cell r="B125" t="str">
            <v>PROVISION OF INTEREST</v>
          </cell>
          <cell r="D125">
            <v>106356.72</v>
          </cell>
        </row>
        <row r="126">
          <cell r="A126">
            <v>6283</v>
          </cell>
          <cell r="B126" t="str">
            <v>PURCHASE TAX</v>
          </cell>
          <cell r="C126">
            <v>59746</v>
          </cell>
        </row>
        <row r="127">
          <cell r="A127">
            <v>8230</v>
          </cell>
          <cell r="B127" t="str">
            <v>RATES &amp; TAXES</v>
          </cell>
          <cell r="C127">
            <v>24074.53</v>
          </cell>
        </row>
        <row r="128">
          <cell r="A128">
            <v>6210</v>
          </cell>
          <cell r="B128" t="str">
            <v>RAW MATARIAL - SHEET</v>
          </cell>
          <cell r="C128">
            <v>83817330.060000002</v>
          </cell>
        </row>
        <row r="129">
          <cell r="A129">
            <v>6211</v>
          </cell>
          <cell r="B129" t="str">
            <v>RAW MATERIAL - COMPONENTS</v>
          </cell>
          <cell r="C129">
            <v>1950439.8</v>
          </cell>
        </row>
        <row r="130">
          <cell r="A130">
            <v>6213</v>
          </cell>
          <cell r="B130" t="str">
            <v>RAW MATERIAL - TOOLS &amp; DIES</v>
          </cell>
          <cell r="C130">
            <v>149244</v>
          </cell>
        </row>
        <row r="131">
          <cell r="A131">
            <v>8210</v>
          </cell>
          <cell r="B131" t="str">
            <v>RENT</v>
          </cell>
          <cell r="C131">
            <v>77900</v>
          </cell>
        </row>
        <row r="132">
          <cell r="A132">
            <v>8242</v>
          </cell>
          <cell r="B132" t="str">
            <v>REPAIR &amp; MAINT. (ELECTRICAL)</v>
          </cell>
          <cell r="C132">
            <v>125385</v>
          </cell>
        </row>
        <row r="133">
          <cell r="A133">
            <v>8244</v>
          </cell>
          <cell r="B133" t="str">
            <v>REPAIR &amp; MAINT. (OTHERS)</v>
          </cell>
          <cell r="C133">
            <v>6415</v>
          </cell>
        </row>
        <row r="134">
          <cell r="A134">
            <v>8243</v>
          </cell>
          <cell r="B134" t="str">
            <v>REPAIR &amp; MAINT. -VEHICLE</v>
          </cell>
          <cell r="C134">
            <v>6147</v>
          </cell>
        </row>
        <row r="135">
          <cell r="A135">
            <v>8247</v>
          </cell>
          <cell r="B135" t="str">
            <v>REPAIR &amp; MAINT.-FURNITURE</v>
          </cell>
          <cell r="C135">
            <v>28727</v>
          </cell>
        </row>
        <row r="136">
          <cell r="A136">
            <v>7150</v>
          </cell>
          <cell r="B136" t="str">
            <v>REPAIR &amp; MAINTENANCE (P.&amp; M.)</v>
          </cell>
          <cell r="C136">
            <v>791964.49</v>
          </cell>
        </row>
        <row r="137">
          <cell r="A137">
            <v>8246</v>
          </cell>
          <cell r="B137" t="str">
            <v>REPAIR &amp; MAINTENECE COMPUTER</v>
          </cell>
          <cell r="C137">
            <v>29025</v>
          </cell>
        </row>
        <row r="138">
          <cell r="A138">
            <v>8241</v>
          </cell>
          <cell r="B138" t="str">
            <v>REPAIRS &amp; MAINT. TO BUILDING</v>
          </cell>
          <cell r="C138">
            <v>349414</v>
          </cell>
        </row>
        <row r="139">
          <cell r="A139">
            <v>665</v>
          </cell>
          <cell r="B139" t="str">
            <v>RG-23A PART II</v>
          </cell>
          <cell r="D139">
            <v>57185</v>
          </cell>
        </row>
        <row r="140">
          <cell r="A140">
            <v>666</v>
          </cell>
          <cell r="B140" t="str">
            <v>RG-23C PART II</v>
          </cell>
          <cell r="C140">
            <v>77941</v>
          </cell>
        </row>
        <row r="141">
          <cell r="A141">
            <v>8110</v>
          </cell>
          <cell r="B141" t="str">
            <v>SALARY AND WAGES</v>
          </cell>
          <cell r="C141">
            <v>1437442</v>
          </cell>
        </row>
        <row r="142">
          <cell r="A142">
            <v>2627</v>
          </cell>
          <cell r="B142" t="str">
            <v>SALARY AND WAGES PAYABLE</v>
          </cell>
          <cell r="D142">
            <v>239962</v>
          </cell>
        </row>
        <row r="143">
          <cell r="A143">
            <v>4169</v>
          </cell>
          <cell r="B143" t="str">
            <v>SALE - STOCK TRF COMP - BHOSARI</v>
          </cell>
          <cell r="D143">
            <v>630745.37</v>
          </cell>
        </row>
        <row r="144">
          <cell r="A144">
            <v>4171</v>
          </cell>
          <cell r="B144" t="str">
            <v>SALE - STOCK TRF COMP - CHAKAN</v>
          </cell>
          <cell r="D144">
            <v>108647558.13</v>
          </cell>
        </row>
        <row r="145">
          <cell r="A145">
            <v>4173</v>
          </cell>
          <cell r="B145" t="str">
            <v>SALE - STOCK TRF JOBWORK-CHAKAN</v>
          </cell>
          <cell r="D145">
            <v>1003316.45</v>
          </cell>
        </row>
        <row r="146">
          <cell r="A146">
            <v>4174</v>
          </cell>
          <cell r="B146" t="str">
            <v>SALE - STOCK TRF RM - BHOSARI</v>
          </cell>
          <cell r="D146">
            <v>865109.55</v>
          </cell>
        </row>
        <row r="147">
          <cell r="A147">
            <v>4175</v>
          </cell>
          <cell r="B147" t="str">
            <v>SALE - STOCK TRF RM - CHAKAN</v>
          </cell>
          <cell r="D147">
            <v>172541.6</v>
          </cell>
        </row>
        <row r="148">
          <cell r="A148">
            <v>4130</v>
          </cell>
          <cell r="B148" t="str">
            <v>SALE - TOOLS &amp; DIES</v>
          </cell>
          <cell r="D148">
            <v>450000</v>
          </cell>
        </row>
        <row r="149">
          <cell r="A149">
            <v>4110</v>
          </cell>
          <cell r="B149" t="str">
            <v>SALES OF FINISHED GOODS</v>
          </cell>
          <cell r="D149">
            <v>17390716.579999998</v>
          </cell>
        </row>
        <row r="150">
          <cell r="A150">
            <v>693</v>
          </cell>
          <cell r="B150" t="str">
            <v>SALES TAX RECOVERABLE</v>
          </cell>
          <cell r="C150">
            <v>159040</v>
          </cell>
        </row>
        <row r="151">
          <cell r="A151">
            <v>4180</v>
          </cell>
          <cell r="B151" t="str">
            <v>SCRAP SALE</v>
          </cell>
          <cell r="D151">
            <v>15299086.75</v>
          </cell>
        </row>
        <row r="152">
          <cell r="A152">
            <v>2611</v>
          </cell>
          <cell r="B152" t="str">
            <v>SECURITY DEPOSIT PAYBLE</v>
          </cell>
          <cell r="D152">
            <v>750000</v>
          </cell>
        </row>
        <row r="153">
          <cell r="A153">
            <v>630</v>
          </cell>
          <cell r="B153" t="str">
            <v>SECURITY DEPOSITS</v>
          </cell>
          <cell r="C153">
            <v>645280</v>
          </cell>
        </row>
        <row r="154">
          <cell r="A154">
            <v>8180</v>
          </cell>
          <cell r="B154" t="str">
            <v>SECURITY SERVICES</v>
          </cell>
          <cell r="C154">
            <v>276962</v>
          </cell>
        </row>
        <row r="155">
          <cell r="A155">
            <v>8554</v>
          </cell>
          <cell r="B155" t="str">
            <v>SHORTAGE &amp; EXCESS A/C</v>
          </cell>
          <cell r="D155">
            <v>264.95</v>
          </cell>
        </row>
        <row r="156">
          <cell r="A156">
            <v>8113</v>
          </cell>
          <cell r="B156" t="str">
            <v>SPECIAL ALLOWANCE</v>
          </cell>
          <cell r="C156">
            <v>3816</v>
          </cell>
        </row>
        <row r="157">
          <cell r="A157">
            <v>8112</v>
          </cell>
          <cell r="B157" t="str">
            <v>STAFF ACCOMODATION</v>
          </cell>
          <cell r="C157">
            <v>33000</v>
          </cell>
        </row>
        <row r="158">
          <cell r="A158">
            <v>8170</v>
          </cell>
          <cell r="B158" t="str">
            <v>STAFF AND WORKERS WELFARE</v>
          </cell>
          <cell r="C158">
            <v>325635</v>
          </cell>
        </row>
        <row r="159">
          <cell r="A159">
            <v>8531</v>
          </cell>
          <cell r="B159" t="str">
            <v>STAFF RECRUITMENT EXPENSES</v>
          </cell>
          <cell r="C159">
            <v>1414</v>
          </cell>
        </row>
        <row r="160">
          <cell r="A160">
            <v>8172</v>
          </cell>
          <cell r="B160" t="str">
            <v>STAFF TRANSPORTATION</v>
          </cell>
          <cell r="C160">
            <v>737041</v>
          </cell>
        </row>
        <row r="161">
          <cell r="A161">
            <v>460</v>
          </cell>
          <cell r="B161" t="str">
            <v>STOCK TRANSFER - STOCK IN TRANSIT</v>
          </cell>
          <cell r="C161">
            <v>473836.79999999999</v>
          </cell>
        </row>
        <row r="162">
          <cell r="A162">
            <v>6269</v>
          </cell>
          <cell r="B162" t="str">
            <v>STOCK TRANSFER(RM PUR )CHAKAN</v>
          </cell>
          <cell r="C162">
            <v>4276414.33</v>
          </cell>
        </row>
        <row r="163">
          <cell r="A163">
            <v>6265</v>
          </cell>
          <cell r="B163" t="str">
            <v>STOCK TRANSFER(RM PUR)BHOSARI</v>
          </cell>
          <cell r="C163">
            <v>5785498.5999999996</v>
          </cell>
        </row>
        <row r="164">
          <cell r="A164">
            <v>2644</v>
          </cell>
          <cell r="B164" t="str">
            <v>SURCHARGE PAYABLE</v>
          </cell>
          <cell r="D164">
            <v>16806.259999999998</v>
          </cell>
        </row>
        <row r="165">
          <cell r="A165">
            <v>2631</v>
          </cell>
          <cell r="B165" t="str">
            <v>T D S - JOB WORK</v>
          </cell>
          <cell r="D165">
            <v>26787</v>
          </cell>
        </row>
        <row r="166">
          <cell r="A166">
            <v>2633</v>
          </cell>
          <cell r="B166" t="str">
            <v>T.D.S - PROFESSIONAL</v>
          </cell>
          <cell r="D166">
            <v>952</v>
          </cell>
        </row>
        <row r="167">
          <cell r="A167">
            <v>8234</v>
          </cell>
          <cell r="B167" t="str">
            <v>TESTING FEES</v>
          </cell>
          <cell r="C167">
            <v>2286</v>
          </cell>
        </row>
        <row r="168">
          <cell r="A168">
            <v>160</v>
          </cell>
          <cell r="B168" t="str">
            <v>TOOLS,JIGS &amp; FIXTURES  (OP.BAL.)</v>
          </cell>
          <cell r="C168">
            <v>470771.37</v>
          </cell>
        </row>
        <row r="169">
          <cell r="A169">
            <v>1160</v>
          </cell>
          <cell r="B169" t="str">
            <v>TOOLS,JIGS &amp; FIXTURES (ADD)</v>
          </cell>
          <cell r="C169">
            <v>32340</v>
          </cell>
        </row>
        <row r="170">
          <cell r="A170">
            <v>8310</v>
          </cell>
          <cell r="B170" t="str">
            <v>TRAVELLING EXPENSES</v>
          </cell>
          <cell r="C170">
            <v>159085</v>
          </cell>
        </row>
        <row r="171">
          <cell r="A171">
            <v>8121</v>
          </cell>
          <cell r="B171" t="str">
            <v>UTILITY ALLOWANCE</v>
          </cell>
          <cell r="C171">
            <v>76408</v>
          </cell>
        </row>
        <row r="172">
          <cell r="A172">
            <v>8245</v>
          </cell>
          <cell r="B172" t="str">
            <v>VEHICLE RUNING &amp; MAINTENECE EXP.</v>
          </cell>
          <cell r="C172">
            <v>95357</v>
          </cell>
        </row>
        <row r="173">
          <cell r="A173">
            <v>190</v>
          </cell>
          <cell r="B173" t="str">
            <v>VEHICLES  (OP.BAL.)</v>
          </cell>
          <cell r="C173">
            <v>295239</v>
          </cell>
        </row>
        <row r="174">
          <cell r="A174">
            <v>7223</v>
          </cell>
          <cell r="B174" t="str">
            <v>WORKERS CONTRACTOR WAGES</v>
          </cell>
          <cell r="C174">
            <v>3007502</v>
          </cell>
        </row>
        <row r="175">
          <cell r="A175">
            <v>7211</v>
          </cell>
          <cell r="B175" t="str">
            <v>WORKERS HRA</v>
          </cell>
          <cell r="C175">
            <v>57162</v>
          </cell>
        </row>
        <row r="176">
          <cell r="A176">
            <v>7216</v>
          </cell>
          <cell r="B176" t="str">
            <v>WORKERS INCENTIVE</v>
          </cell>
          <cell r="C176">
            <v>105495</v>
          </cell>
        </row>
        <row r="177">
          <cell r="A177">
            <v>7250</v>
          </cell>
          <cell r="B177" t="str">
            <v>WORKERS PF - EMPLOYERS CONTRIBUTION</v>
          </cell>
          <cell r="C177">
            <v>19211</v>
          </cell>
        </row>
        <row r="178">
          <cell r="A178">
            <v>7252</v>
          </cell>
          <cell r="B178" t="str">
            <v>WORKERS PF EMP CONTR. EDLI ADMIN</v>
          </cell>
          <cell r="C178">
            <v>52</v>
          </cell>
        </row>
        <row r="179">
          <cell r="A179">
            <v>7251</v>
          </cell>
          <cell r="B179" t="str">
            <v>WORKERS PF EMP CONTRIBUTION PENSION</v>
          </cell>
          <cell r="C179">
            <v>43615</v>
          </cell>
        </row>
        <row r="180">
          <cell r="A180">
            <v>7254</v>
          </cell>
          <cell r="B180" t="str">
            <v>WORKERS PF EMPLOYER CONT ADMN CHARG</v>
          </cell>
          <cell r="C180">
            <v>5759</v>
          </cell>
        </row>
        <row r="181">
          <cell r="A181">
            <v>7253</v>
          </cell>
          <cell r="B181" t="str">
            <v>WORKERS PF EMPLOYER CONTR. EDLI</v>
          </cell>
          <cell r="C181">
            <v>2619</v>
          </cell>
        </row>
        <row r="182">
          <cell r="A182">
            <v>7210</v>
          </cell>
          <cell r="B182" t="str">
            <v>WORKERS WAGES</v>
          </cell>
          <cell r="C182">
            <v>418056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ate table"/>
      <sheetName val="tonnage"/>
      <sheetName val="All SM  cost "/>
      <sheetName val="BIW BOM-09.05.2005"/>
      <sheetName val="a class items"/>
      <sheetName val="MOD ADD"/>
      <sheetName val="Section 1-RFQ"/>
      <sheetName val="Production Database 399"/>
      <sheetName val="HALOL"/>
      <sheetName val="Base For Costing"/>
      <sheetName val="Investment_4x4economy"/>
    </sheetNames>
    <sheetDataSet>
      <sheetData sheetId="0" refreshError="1">
        <row r="7">
          <cell r="A7" t="str">
            <v>E34</v>
          </cell>
          <cell r="B7">
            <v>32.89</v>
          </cell>
        </row>
        <row r="8">
          <cell r="A8" t="str">
            <v>E38</v>
          </cell>
          <cell r="B8">
            <v>33.04</v>
          </cell>
        </row>
        <row r="9">
          <cell r="A9" t="str">
            <v>IFHS</v>
          </cell>
          <cell r="B9">
            <v>41</v>
          </cell>
        </row>
        <row r="10">
          <cell r="A10" t="str">
            <v>BSK46</v>
          </cell>
          <cell r="B10">
            <v>33.909999999999997</v>
          </cell>
        </row>
        <row r="11">
          <cell r="A11">
            <v>0</v>
          </cell>
          <cell r="B11">
            <v>0</v>
          </cell>
        </row>
        <row r="12">
          <cell r="A12" t="str">
            <v>Press capacity</v>
          </cell>
          <cell r="B12" t="str">
            <v>rate/stroke</v>
          </cell>
        </row>
        <row r="13">
          <cell r="A13" t="str">
            <v>25T</v>
          </cell>
          <cell r="B13">
            <v>0.1</v>
          </cell>
        </row>
        <row r="14">
          <cell r="A14" t="str">
            <v>50T</v>
          </cell>
          <cell r="B14">
            <v>0.12</v>
          </cell>
        </row>
        <row r="15">
          <cell r="A15" t="str">
            <v>75T</v>
          </cell>
          <cell r="B15">
            <v>0.15</v>
          </cell>
        </row>
        <row r="16">
          <cell r="A16" t="str">
            <v>100T</v>
          </cell>
          <cell r="B16">
            <v>0.28000000000000003</v>
          </cell>
        </row>
        <row r="17">
          <cell r="A17" t="str">
            <v>150T</v>
          </cell>
          <cell r="B17">
            <v>0.48</v>
          </cell>
        </row>
        <row r="18">
          <cell r="A18" t="str">
            <v>250T</v>
          </cell>
          <cell r="B18">
            <v>1</v>
          </cell>
        </row>
        <row r="19">
          <cell r="A19" t="str">
            <v>315T</v>
          </cell>
          <cell r="B19">
            <v>1.25</v>
          </cell>
        </row>
        <row r="20">
          <cell r="A20" t="str">
            <v>350T</v>
          </cell>
          <cell r="B20">
            <v>1.45</v>
          </cell>
        </row>
        <row r="21">
          <cell r="A21" t="str">
            <v>500T</v>
          </cell>
          <cell r="B21">
            <v>2.0499999999999998</v>
          </cell>
        </row>
        <row r="22">
          <cell r="A22" t="str">
            <v>L2000</v>
          </cell>
          <cell r="B22">
            <v>5.25</v>
          </cell>
        </row>
        <row r="23">
          <cell r="A23" t="str">
            <v>L2500</v>
          </cell>
          <cell r="B23">
            <v>7.5</v>
          </cell>
        </row>
        <row r="24">
          <cell r="A24" t="str">
            <v>L3000</v>
          </cell>
          <cell r="B24">
            <v>9.5</v>
          </cell>
        </row>
        <row r="25">
          <cell r="A25" t="str">
            <v>L4000</v>
          </cell>
          <cell r="B25">
            <v>15</v>
          </cell>
        </row>
        <row r="26">
          <cell r="A26" t="str">
            <v>N</v>
          </cell>
          <cell r="B26">
            <v>0</v>
          </cell>
        </row>
        <row r="27">
          <cell r="A27" t="str">
            <v>25T2</v>
          </cell>
          <cell r="B27">
            <v>0.2</v>
          </cell>
        </row>
        <row r="28">
          <cell r="A28" t="str">
            <v>50T2</v>
          </cell>
          <cell r="B28">
            <v>0.24</v>
          </cell>
        </row>
        <row r="29">
          <cell r="A29" t="str">
            <v>75T2</v>
          </cell>
          <cell r="B29">
            <v>0.3</v>
          </cell>
        </row>
        <row r="30">
          <cell r="A30" t="str">
            <v>100T2</v>
          </cell>
          <cell r="B30">
            <v>0.56000000000000005</v>
          </cell>
        </row>
        <row r="31">
          <cell r="A31" t="str">
            <v>150T2</v>
          </cell>
          <cell r="B31">
            <v>0.96</v>
          </cell>
        </row>
        <row r="32">
          <cell r="A32" t="str">
            <v>250T2</v>
          </cell>
          <cell r="B32">
            <v>2</v>
          </cell>
        </row>
        <row r="33">
          <cell r="A33" t="str">
            <v>315T2</v>
          </cell>
          <cell r="B33">
            <v>2.5</v>
          </cell>
        </row>
        <row r="34">
          <cell r="A34" t="str">
            <v>350T2</v>
          </cell>
          <cell r="B34">
            <v>2.9</v>
          </cell>
        </row>
        <row r="35">
          <cell r="A35" t="str">
            <v>500T2</v>
          </cell>
          <cell r="B35">
            <v>4.0999999999999996</v>
          </cell>
        </row>
        <row r="36">
          <cell r="A36" t="str">
            <v>L20002</v>
          </cell>
          <cell r="B36">
            <v>10.5</v>
          </cell>
        </row>
        <row r="37">
          <cell r="A37" t="str">
            <v>L25002</v>
          </cell>
          <cell r="B37">
            <v>15</v>
          </cell>
        </row>
        <row r="38">
          <cell r="A38" t="str">
            <v>L30002</v>
          </cell>
          <cell r="B38">
            <v>19</v>
          </cell>
        </row>
        <row r="39">
          <cell r="A39" t="str">
            <v>L40002</v>
          </cell>
          <cell r="B39">
            <v>30</v>
          </cell>
        </row>
        <row r="40">
          <cell r="A40" t="str">
            <v>25T3</v>
          </cell>
          <cell r="B40">
            <v>0.30000000000000004</v>
          </cell>
        </row>
        <row r="41">
          <cell r="A41" t="str">
            <v>50T3</v>
          </cell>
          <cell r="B41">
            <v>0.36</v>
          </cell>
        </row>
        <row r="42">
          <cell r="A42" t="str">
            <v>75T3</v>
          </cell>
          <cell r="B42">
            <v>0.44999999999999996</v>
          </cell>
        </row>
        <row r="43">
          <cell r="A43" t="str">
            <v>100T3</v>
          </cell>
          <cell r="B43">
            <v>0.84000000000000008</v>
          </cell>
        </row>
        <row r="44">
          <cell r="A44" t="str">
            <v>150T3</v>
          </cell>
          <cell r="B44">
            <v>1.44</v>
          </cell>
        </row>
        <row r="45">
          <cell r="A45" t="str">
            <v>250T3</v>
          </cell>
          <cell r="B45">
            <v>3</v>
          </cell>
        </row>
        <row r="46">
          <cell r="A46" t="str">
            <v>315T3</v>
          </cell>
          <cell r="B46">
            <v>3.75</v>
          </cell>
        </row>
        <row r="47">
          <cell r="A47" t="str">
            <v>350T3</v>
          </cell>
          <cell r="B47">
            <v>4.3499999999999996</v>
          </cell>
        </row>
        <row r="48">
          <cell r="A48" t="str">
            <v>500T3</v>
          </cell>
          <cell r="B48">
            <v>6.1499999999999995</v>
          </cell>
        </row>
        <row r="49">
          <cell r="A49" t="str">
            <v>L20003</v>
          </cell>
          <cell r="B49">
            <v>15.75</v>
          </cell>
        </row>
        <row r="50">
          <cell r="A50" t="str">
            <v>L25003</v>
          </cell>
          <cell r="B50">
            <v>22.5</v>
          </cell>
        </row>
        <row r="51">
          <cell r="A51" t="str">
            <v>L30003</v>
          </cell>
          <cell r="B51">
            <v>28.5</v>
          </cell>
        </row>
        <row r="52">
          <cell r="A52" t="str">
            <v>L40003</v>
          </cell>
          <cell r="B52">
            <v>45</v>
          </cell>
        </row>
        <row r="53">
          <cell r="A53" t="str">
            <v>25T4</v>
          </cell>
          <cell r="B53">
            <v>0.4</v>
          </cell>
        </row>
        <row r="54">
          <cell r="A54" t="str">
            <v>50T4</v>
          </cell>
          <cell r="B54">
            <v>0.48</v>
          </cell>
        </row>
        <row r="55">
          <cell r="A55" t="str">
            <v>75T4</v>
          </cell>
          <cell r="B55">
            <v>0.6</v>
          </cell>
        </row>
        <row r="56">
          <cell r="A56" t="str">
            <v>100T4</v>
          </cell>
          <cell r="B56">
            <v>1.1200000000000001</v>
          </cell>
        </row>
        <row r="57">
          <cell r="A57" t="str">
            <v>150T4</v>
          </cell>
          <cell r="B57">
            <v>1.92</v>
          </cell>
        </row>
        <row r="58">
          <cell r="A58" t="str">
            <v>250T4</v>
          </cell>
          <cell r="B58">
            <v>4</v>
          </cell>
        </row>
        <row r="59">
          <cell r="A59" t="str">
            <v>315T4</v>
          </cell>
          <cell r="B59">
            <v>5</v>
          </cell>
        </row>
        <row r="60">
          <cell r="A60" t="str">
            <v>350T4</v>
          </cell>
          <cell r="B60">
            <v>5.8</v>
          </cell>
        </row>
        <row r="61">
          <cell r="A61" t="str">
            <v>500T4</v>
          </cell>
          <cell r="B61">
            <v>8.1999999999999993</v>
          </cell>
        </row>
        <row r="62">
          <cell r="A62" t="str">
            <v>L20004</v>
          </cell>
          <cell r="B62">
            <v>21</v>
          </cell>
        </row>
        <row r="63">
          <cell r="A63" t="str">
            <v>L25004</v>
          </cell>
          <cell r="B63">
            <v>30</v>
          </cell>
        </row>
        <row r="64">
          <cell r="A64" t="str">
            <v>L30004</v>
          </cell>
          <cell r="B64">
            <v>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tal"/>
      <sheetName val="TJC-M"/>
      <sheetName val="TJC - Total"/>
      <sheetName val="TAPS-M"/>
      <sheetName val="TAPS-Rev"/>
      <sheetName val="TAPS-Rev (2)"/>
      <sheetName val="TAPS Valuation"/>
      <sheetName val="TTR-M"/>
      <sheetName val="TYA-M"/>
      <sheetName val="TYA-Rev"/>
      <sheetName val="TF-M"/>
      <sheetName val="TCS-M"/>
      <sheetName val="ACSI-M"/>
      <sheetName val="ACSI-Rev"/>
      <sheetName val="JBM SW"/>
      <sheetName val="JBMT"/>
      <sheetName val="TACO Engg."/>
      <sheetName val="KJBM"/>
      <sheetName val="TYU"/>
      <sheetName val="TJCEngg"/>
      <sheetName val="ASA"/>
      <sheetName val="TJC _ Total"/>
      <sheetName val="3_Premises"/>
      <sheetName val="masop"/>
      <sheetName val="Rate table"/>
      <sheetName val="2. Def"/>
      <sheetName val="Cost_Redn"/>
      <sheetName val="cash flow-Uk"/>
      <sheetName val="Full PBD"/>
      <sheetName val="Setup"/>
      <sheetName val="DATA SPGR14"/>
    </sheetNames>
    <sheetDataSet>
      <sheetData sheetId="0" refreshError="1"/>
      <sheetData sheetId="1" refreshError="1"/>
      <sheetData sheetId="2" refreshError="1"/>
      <sheetData sheetId="3" refreshError="1">
        <row r="172">
          <cell r="N172">
            <v>0.35699999999999998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 List"/>
      <sheetName val="Y2 and R List"/>
      <sheetName val="Criteria"/>
    </sheetNames>
    <sheetDataSet>
      <sheetData sheetId="0"/>
      <sheetData sheetId="1"/>
      <sheetData sheetId="2" refreshError="1">
        <row r="2">
          <cell r="A2" t="str">
            <v>All Versions</v>
          </cell>
        </row>
        <row r="3">
          <cell r="A3" t="str">
            <v>Only Standard</v>
          </cell>
        </row>
        <row r="4">
          <cell r="A4" t="str">
            <v>Only Deluxe</v>
          </cell>
        </row>
        <row r="5">
          <cell r="A5" t="str">
            <v>Only Luxury</v>
          </cell>
        </row>
        <row r="6">
          <cell r="A6" t="str">
            <v>Standard and Deluxe</v>
          </cell>
        </row>
        <row r="7">
          <cell r="A7" t="str">
            <v>Deluxe and Luxury</v>
          </cell>
        </row>
        <row r="8">
          <cell r="A8" t="str">
            <v>Standard and Luxury</v>
          </cell>
        </row>
        <row r="9">
          <cell r="A9" t="str">
            <v>Only for specific Colour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 List"/>
      <sheetName val="Y2 and R List"/>
      <sheetName val="Criteria"/>
    </sheetNames>
    <sheetDataSet>
      <sheetData sheetId="0"/>
      <sheetData sheetId="1"/>
      <sheetData sheetId="2" refreshError="1">
        <row r="2">
          <cell r="A2" t="str">
            <v>All Versions</v>
          </cell>
        </row>
        <row r="3">
          <cell r="A3" t="str">
            <v>Only Standard</v>
          </cell>
        </row>
        <row r="4">
          <cell r="A4" t="str">
            <v>Only Deluxe</v>
          </cell>
        </row>
        <row r="5">
          <cell r="A5" t="str">
            <v>Only Luxury</v>
          </cell>
        </row>
        <row r="6">
          <cell r="A6" t="str">
            <v>Standard and Deluxe</v>
          </cell>
        </row>
        <row r="7">
          <cell r="A7" t="str">
            <v>Deluxe and Luxury</v>
          </cell>
        </row>
        <row r="8">
          <cell r="A8" t="str">
            <v>Standard and Luxury</v>
          </cell>
        </row>
        <row r="9">
          <cell r="A9" t="str">
            <v>Only for specific Colour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LDP 5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oleObject" Target="../embeddings/oleObject16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10.bin"/><Relationship Id="rId12" Type="http://schemas.openxmlformats.org/officeDocument/2006/relationships/oleObject" Target="../embeddings/oleObject15.bin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9.bin"/><Relationship Id="rId11" Type="http://schemas.openxmlformats.org/officeDocument/2006/relationships/oleObject" Target="../embeddings/oleObject14.bin"/><Relationship Id="rId5" Type="http://schemas.openxmlformats.org/officeDocument/2006/relationships/oleObject" Target="../embeddings/oleObject8.bin"/><Relationship Id="rId10" Type="http://schemas.openxmlformats.org/officeDocument/2006/relationships/oleObject" Target="../embeddings/oleObject13.bin"/><Relationship Id="rId4" Type="http://schemas.openxmlformats.org/officeDocument/2006/relationships/oleObject" Target="../embeddings/oleObject7.bin"/><Relationship Id="rId9" Type="http://schemas.openxmlformats.org/officeDocument/2006/relationships/oleObject" Target="../embeddings/oleObject12.bin"/><Relationship Id="rId14" Type="http://schemas.openxmlformats.org/officeDocument/2006/relationships/oleObject" Target="../embeddings/oleObject17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20.bin"/><Relationship Id="rId5" Type="http://schemas.openxmlformats.org/officeDocument/2006/relationships/oleObject" Target="../embeddings/oleObject19.bin"/><Relationship Id="rId4" Type="http://schemas.openxmlformats.org/officeDocument/2006/relationships/oleObject" Target="../embeddings/oleObject18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5.bin"/><Relationship Id="rId3" Type="http://schemas.openxmlformats.org/officeDocument/2006/relationships/vmlDrawing" Target="../drawings/vmlDrawing4.vml"/><Relationship Id="rId7" Type="http://schemas.openxmlformats.org/officeDocument/2006/relationships/oleObject" Target="../embeddings/oleObject24.bin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23.bin"/><Relationship Id="rId11" Type="http://schemas.openxmlformats.org/officeDocument/2006/relationships/oleObject" Target="../embeddings/oleObject28.bin"/><Relationship Id="rId5" Type="http://schemas.openxmlformats.org/officeDocument/2006/relationships/oleObject" Target="../embeddings/oleObject22.bin"/><Relationship Id="rId10" Type="http://schemas.openxmlformats.org/officeDocument/2006/relationships/oleObject" Target="../embeddings/oleObject27.bin"/><Relationship Id="rId4" Type="http://schemas.openxmlformats.org/officeDocument/2006/relationships/oleObject" Target="../embeddings/oleObject21.bin"/><Relationship Id="rId9" Type="http://schemas.openxmlformats.org/officeDocument/2006/relationships/oleObject" Target="../embeddings/oleObject2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selection activeCell="F48" sqref="F48"/>
    </sheetView>
  </sheetViews>
  <sheetFormatPr defaultRowHeight="12.75"/>
  <cols>
    <col min="1" max="1" width="23" style="32" customWidth="1"/>
    <col min="2" max="2" width="12" style="32" customWidth="1"/>
    <col min="3" max="3" width="53.7109375" style="32" customWidth="1"/>
    <col min="4" max="4" width="24.140625" style="32" customWidth="1"/>
    <col min="5" max="5" width="32" style="32" customWidth="1"/>
    <col min="6" max="16384" width="9.140625" style="32"/>
  </cols>
  <sheetData>
    <row r="1" spans="1:3" s="4" customFormat="1" ht="20.100000000000001" customHeight="1" thickBot="1">
      <c r="A1" s="1"/>
      <c r="B1" s="2"/>
      <c r="C1" s="3"/>
    </row>
    <row r="2" spans="1:3" s="4" customFormat="1" ht="20.100000000000001" customHeight="1">
      <c r="A2" s="5"/>
      <c r="B2" s="6"/>
      <c r="C2" s="7"/>
    </row>
    <row r="3" spans="1:3" s="4" customFormat="1" ht="20.100000000000001" customHeight="1">
      <c r="A3" s="8"/>
      <c r="B3" s="9"/>
      <c r="C3" s="10"/>
    </row>
    <row r="4" spans="1:3" s="4" customFormat="1" ht="20.100000000000001" customHeight="1">
      <c r="A4" s="11"/>
      <c r="B4" s="9"/>
      <c r="C4" s="10"/>
    </row>
    <row r="5" spans="1:3" s="4" customFormat="1" ht="20.100000000000001" customHeight="1">
      <c r="A5" s="8"/>
      <c r="B5" s="9"/>
      <c r="C5" s="10"/>
    </row>
    <row r="6" spans="1:3" s="4" customFormat="1" ht="20.100000000000001" customHeight="1">
      <c r="A6" s="11"/>
      <c r="B6" s="9"/>
      <c r="C6" s="10"/>
    </row>
    <row r="7" spans="1:3" s="4" customFormat="1" ht="20.100000000000001" customHeight="1">
      <c r="A7" s="12" t="s">
        <v>0</v>
      </c>
      <c r="B7" s="13"/>
      <c r="C7" s="14">
        <v>252709140196</v>
      </c>
    </row>
    <row r="8" spans="1:3" s="4" customFormat="1" ht="20.100000000000001" customHeight="1">
      <c r="A8" s="15"/>
      <c r="B8" s="13"/>
      <c r="C8" s="16"/>
    </row>
    <row r="9" spans="1:3" s="4" customFormat="1" ht="34.5" customHeight="1">
      <c r="A9" s="12" t="s">
        <v>1</v>
      </c>
      <c r="B9" s="13"/>
      <c r="C9" s="17" t="s">
        <v>437</v>
      </c>
    </row>
    <row r="10" spans="1:3" s="4" customFormat="1" ht="20.100000000000001" customHeight="1">
      <c r="A10" s="15"/>
      <c r="B10" s="13"/>
      <c r="C10" s="16"/>
    </row>
    <row r="11" spans="1:3" s="4" customFormat="1" ht="20.100000000000001" customHeight="1" thickBot="1">
      <c r="A11" s="18"/>
      <c r="B11" s="19"/>
      <c r="C11" s="20"/>
    </row>
    <row r="12" spans="1:3" s="4" customFormat="1" ht="20.100000000000001" customHeight="1">
      <c r="A12" s="21"/>
      <c r="B12" s="2"/>
      <c r="C12" s="3"/>
    </row>
    <row r="13" spans="1:3" s="4" customFormat="1" ht="20.100000000000001" customHeight="1">
      <c r="A13" s="542" t="s">
        <v>453</v>
      </c>
      <c r="B13" s="2"/>
      <c r="C13" s="3"/>
    </row>
    <row r="14" spans="1:3" s="4" customFormat="1" ht="27" customHeight="1">
      <c r="A14" s="21"/>
      <c r="B14" s="2"/>
      <c r="C14" s="3"/>
    </row>
    <row r="15" spans="1:3" s="4" customFormat="1" ht="20.100000000000001" customHeight="1">
      <c r="A15" s="21"/>
      <c r="B15" s="2"/>
      <c r="C15" s="3"/>
    </row>
    <row r="16" spans="1:3" s="4" customFormat="1" ht="20.100000000000001" customHeight="1">
      <c r="A16" s="21"/>
      <c r="B16" s="2"/>
      <c r="C16" s="3"/>
    </row>
    <row r="17" spans="1:5" s="4" customFormat="1" ht="18">
      <c r="A17" s="21"/>
      <c r="B17" s="2"/>
      <c r="C17" s="22"/>
    </row>
    <row r="18" spans="1:5" s="4" customFormat="1">
      <c r="A18" s="23"/>
      <c r="B18" s="24"/>
      <c r="C18" s="25"/>
    </row>
    <row r="19" spans="1:5" s="4" customFormat="1">
      <c r="A19" s="23"/>
      <c r="B19" s="2"/>
      <c r="C19" s="3"/>
    </row>
    <row r="20" spans="1:5" s="4" customFormat="1">
      <c r="A20" s="23"/>
      <c r="B20" s="2"/>
      <c r="C20" s="3"/>
    </row>
    <row r="21" spans="1:5" s="4" customFormat="1" ht="13.5" thickBot="1">
      <c r="A21" s="26"/>
      <c r="B21" s="27"/>
      <c r="C21" s="28"/>
      <c r="D21" s="29"/>
    </row>
    <row r="22" spans="1:5" s="4" customFormat="1">
      <c r="B22" s="29"/>
    </row>
    <row r="23" spans="1:5" s="4" customFormat="1">
      <c r="B23" s="29"/>
    </row>
    <row r="24" spans="1:5" ht="20.100000000000001" customHeight="1">
      <c r="A24" s="30"/>
      <c r="B24" s="30"/>
      <c r="C24" s="31"/>
      <c r="D24" s="31"/>
      <c r="E24" s="31"/>
    </row>
    <row r="25" spans="1:5" ht="20.100000000000001" customHeight="1">
      <c r="A25" s="30"/>
      <c r="B25" s="30"/>
      <c r="C25" s="31"/>
      <c r="D25" s="31"/>
      <c r="E25" s="31"/>
    </row>
    <row r="26" spans="1:5" ht="20.100000000000001" customHeight="1">
      <c r="A26" s="30"/>
      <c r="B26" s="30"/>
      <c r="C26" s="31"/>
      <c r="D26" s="31"/>
      <c r="E26" s="31"/>
    </row>
    <row r="27" spans="1:5" ht="24.95" customHeight="1">
      <c r="A27" s="33"/>
      <c r="B27" s="34"/>
      <c r="C27" s="35"/>
      <c r="D27" s="34"/>
      <c r="E27" s="34"/>
    </row>
    <row r="28" spans="1:5" ht="24.95" customHeight="1">
      <c r="A28" s="33"/>
      <c r="B28" s="34"/>
      <c r="C28" s="34"/>
      <c r="D28" s="34"/>
      <c r="E28" s="34"/>
    </row>
    <row r="29" spans="1:5" ht="24.95" customHeight="1">
      <c r="A29" s="33"/>
      <c r="B29" s="34"/>
      <c r="C29" s="34"/>
      <c r="D29" s="34"/>
      <c r="E29" s="34"/>
    </row>
    <row r="30" spans="1:5" ht="24.95" customHeight="1">
      <c r="A30" s="34"/>
      <c r="B30" s="36"/>
      <c r="C30" s="34"/>
      <c r="D30" s="34"/>
      <c r="E30" s="34"/>
    </row>
    <row r="31" spans="1:5">
      <c r="A31" s="37"/>
      <c r="B31" s="37"/>
      <c r="C31" s="37"/>
      <c r="D31" s="37"/>
      <c r="E31" s="37"/>
    </row>
    <row r="32" spans="1:5" s="4" customFormat="1" ht="15" customHeight="1">
      <c r="A32" s="38"/>
    </row>
    <row r="33" spans="1:2" s="4" customFormat="1" ht="15" customHeight="1"/>
    <row r="34" spans="1:2" s="4" customFormat="1" ht="15" customHeight="1"/>
    <row r="35" spans="1:2" s="4" customFormat="1" ht="15" customHeight="1">
      <c r="A35" s="38"/>
    </row>
    <row r="36" spans="1:2" s="4" customFormat="1">
      <c r="A36" s="38"/>
    </row>
    <row r="37" spans="1:2" s="4" customFormat="1">
      <c r="B37" s="39"/>
    </row>
    <row r="38" spans="1:2" s="4" customFormat="1"/>
    <row r="39" spans="1:2" s="4" customFormat="1"/>
    <row r="40" spans="1:2" s="4" customFormat="1"/>
    <row r="41" spans="1:2" s="4" customFormat="1"/>
    <row r="42" spans="1:2" s="4" customFormat="1">
      <c r="A42" s="38"/>
    </row>
    <row r="43" spans="1:2" s="4" customFormat="1"/>
    <row r="44" spans="1:2" s="4" customFormat="1"/>
    <row r="45" spans="1:2" s="4" customFormat="1">
      <c r="A45" s="38"/>
    </row>
    <row r="46" spans="1:2" s="4" customFormat="1">
      <c r="A46" s="38"/>
    </row>
    <row r="47" spans="1:2" s="4" customFormat="1">
      <c r="A47" s="38"/>
    </row>
    <row r="48" spans="1:2" s="4" customFormat="1" ht="12.6" customHeight="1">
      <c r="A48" s="38"/>
    </row>
    <row r="49" spans="1:5" s="4" customFormat="1" ht="15" customHeight="1">
      <c r="A49" s="38"/>
    </row>
    <row r="50" spans="1:5" s="4" customFormat="1" ht="15" customHeight="1">
      <c r="A50" s="38"/>
    </row>
    <row r="51" spans="1:5" s="4" customFormat="1" ht="15" customHeight="1">
      <c r="A51" s="38"/>
    </row>
    <row r="52" spans="1:5" ht="15" customHeight="1">
      <c r="A52" s="40"/>
      <c r="B52" s="40"/>
      <c r="C52" s="40"/>
      <c r="D52" s="40"/>
      <c r="E52" s="40"/>
    </row>
    <row r="53" spans="1:5" ht="15" customHeight="1">
      <c r="A53" s="40"/>
      <c r="B53" s="40"/>
      <c r="C53" s="40"/>
      <c r="D53" s="40"/>
      <c r="E53" s="40"/>
    </row>
  </sheetData>
  <printOptions horizontalCentered="1"/>
  <pageMargins left="0.25" right="0.25" top="0.5" bottom="0.5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topLeftCell="A13" workbookViewId="0">
      <selection activeCell="F48" sqref="F48"/>
    </sheetView>
  </sheetViews>
  <sheetFormatPr defaultRowHeight="12.75"/>
  <cols>
    <col min="1" max="1" width="23" style="32" customWidth="1"/>
    <col min="2" max="2" width="12" style="32" customWidth="1"/>
    <col min="3" max="3" width="53.7109375" style="32" customWidth="1"/>
    <col min="4" max="4" width="24.140625" style="32" customWidth="1"/>
    <col min="5" max="5" width="32" style="32" customWidth="1"/>
    <col min="6" max="16384" width="9.140625" style="32"/>
  </cols>
  <sheetData>
    <row r="1" spans="1:3" s="4" customFormat="1" ht="20.100000000000001" customHeight="1">
      <c r="A1" s="590" t="s">
        <v>2</v>
      </c>
      <c r="B1" s="591"/>
      <c r="C1" s="592"/>
    </row>
    <row r="2" spans="1:3" s="4" customFormat="1" ht="20.100000000000001" customHeight="1">
      <c r="A2" s="593"/>
      <c r="B2" s="594"/>
      <c r="C2" s="595"/>
    </row>
    <row r="3" spans="1:3" s="4" customFormat="1" ht="20.100000000000001" customHeight="1" thickBot="1">
      <c r="A3" s="596"/>
      <c r="B3" s="597"/>
      <c r="C3" s="598"/>
    </row>
    <row r="4" spans="1:3" s="4" customFormat="1" ht="20.100000000000001" customHeight="1">
      <c r="A4" s="1"/>
      <c r="B4" s="2"/>
      <c r="C4" s="3"/>
    </row>
    <row r="5" spans="1:3" s="4" customFormat="1" ht="20.100000000000001" customHeight="1">
      <c r="A5" s="1"/>
      <c r="B5" s="2"/>
      <c r="C5" s="3"/>
    </row>
    <row r="6" spans="1:3" s="4" customFormat="1" ht="20.100000000000001" customHeight="1">
      <c r="A6" s="23"/>
      <c r="B6" s="2"/>
      <c r="C6" s="3"/>
    </row>
    <row r="7" spans="1:3" s="4" customFormat="1" ht="20.100000000000001" customHeight="1">
      <c r="A7" s="23"/>
      <c r="B7" s="2"/>
      <c r="C7" s="3"/>
    </row>
    <row r="8" spans="1:3" s="4" customFormat="1" ht="20.100000000000001" customHeight="1">
      <c r="A8" s="1"/>
      <c r="B8" s="2"/>
      <c r="C8" s="3"/>
    </row>
    <row r="9" spans="1:3" s="4" customFormat="1" ht="20.100000000000001" customHeight="1">
      <c r="A9" s="11"/>
      <c r="B9" s="9"/>
      <c r="C9" s="10"/>
    </row>
    <row r="10" spans="1:3" s="4" customFormat="1" ht="20.100000000000001" customHeight="1">
      <c r="A10" s="8"/>
      <c r="B10" s="9"/>
      <c r="C10" s="10"/>
    </row>
    <row r="11" spans="1:3" s="4" customFormat="1" ht="20.100000000000001" customHeight="1">
      <c r="A11" s="11"/>
      <c r="B11" s="9"/>
      <c r="C11" s="10"/>
    </row>
    <row r="12" spans="1:3" s="4" customFormat="1" ht="20.100000000000001" customHeight="1">
      <c r="A12" s="8"/>
      <c r="B12" s="9"/>
      <c r="C12" s="10"/>
    </row>
    <row r="13" spans="1:3" s="4" customFormat="1" ht="20.100000000000001" customHeight="1">
      <c r="A13" s="541" t="s">
        <v>453</v>
      </c>
      <c r="B13" s="9"/>
      <c r="C13" s="10"/>
    </row>
    <row r="14" spans="1:3" s="4" customFormat="1" ht="20.100000000000001" customHeight="1">
      <c r="A14" s="12" t="s">
        <v>0</v>
      </c>
      <c r="B14" s="13"/>
      <c r="C14" s="14">
        <v>252709140196</v>
      </c>
    </row>
    <row r="15" spans="1:3" s="4" customFormat="1" ht="20.100000000000001" customHeight="1">
      <c r="A15" s="15"/>
      <c r="B15" s="13"/>
      <c r="C15" s="16"/>
    </row>
    <row r="16" spans="1:3" s="4" customFormat="1" ht="20.100000000000001" customHeight="1">
      <c r="A16" s="12" t="s">
        <v>3</v>
      </c>
      <c r="B16" s="13"/>
      <c r="C16" s="14">
        <v>252709140196</v>
      </c>
    </row>
    <row r="17" spans="1:3" s="4" customFormat="1" ht="20.100000000000001" customHeight="1">
      <c r="A17" s="15"/>
      <c r="B17" s="13"/>
      <c r="C17" s="16"/>
    </row>
    <row r="18" spans="1:3" s="4" customFormat="1" ht="38.25" customHeight="1">
      <c r="A18" s="12" t="s">
        <v>1</v>
      </c>
      <c r="B18" s="13"/>
      <c r="C18" s="17" t="s">
        <v>437</v>
      </c>
    </row>
    <row r="19" spans="1:3" s="4" customFormat="1" ht="20.100000000000001" customHeight="1">
      <c r="A19" s="15"/>
      <c r="B19" s="13"/>
      <c r="C19" s="16"/>
    </row>
    <row r="20" spans="1:3" s="4" customFormat="1" ht="20.100000000000001" customHeight="1">
      <c r="A20" s="12" t="s">
        <v>4</v>
      </c>
      <c r="B20" s="13"/>
      <c r="C20" s="41" t="s">
        <v>444</v>
      </c>
    </row>
    <row r="21" spans="1:3" s="4" customFormat="1" ht="20.100000000000001" customHeight="1">
      <c r="A21" s="15"/>
      <c r="B21" s="13"/>
      <c r="C21" s="16"/>
    </row>
    <row r="22" spans="1:3" s="4" customFormat="1" ht="20.100000000000001" customHeight="1">
      <c r="A22" s="12" t="s">
        <v>5</v>
      </c>
      <c r="B22" s="13"/>
      <c r="C22" s="16" t="s">
        <v>6</v>
      </c>
    </row>
    <row r="23" spans="1:3" s="4" customFormat="1" ht="20.100000000000001" customHeight="1">
      <c r="A23" s="21"/>
      <c r="B23" s="2"/>
      <c r="C23" s="3"/>
    </row>
    <row r="24" spans="1:3" s="4" customFormat="1" ht="20.100000000000001" customHeight="1">
      <c r="A24" s="21"/>
      <c r="B24" s="2"/>
      <c r="C24" s="3"/>
    </row>
    <row r="25" spans="1:3" s="4" customFormat="1" ht="20.100000000000001" customHeight="1">
      <c r="A25" s="21"/>
      <c r="B25" s="2"/>
      <c r="C25" s="3"/>
    </row>
    <row r="26" spans="1:3" s="4" customFormat="1" ht="27" customHeight="1">
      <c r="A26" s="21"/>
      <c r="B26" s="2"/>
      <c r="C26" s="3"/>
    </row>
    <row r="27" spans="1:3" s="4" customFormat="1" ht="20.100000000000001" customHeight="1">
      <c r="A27" s="21"/>
      <c r="B27" s="2"/>
      <c r="C27" s="3"/>
    </row>
    <row r="28" spans="1:3" s="4" customFormat="1" ht="20.100000000000001" customHeight="1">
      <c r="A28" s="21"/>
      <c r="B28" s="2"/>
      <c r="C28" s="3"/>
    </row>
    <row r="29" spans="1:3" s="4" customFormat="1" ht="18">
      <c r="A29" s="21"/>
      <c r="B29" s="2"/>
      <c r="C29" s="22"/>
    </row>
    <row r="30" spans="1:3" s="4" customFormat="1">
      <c r="A30" s="23"/>
      <c r="B30" s="24"/>
      <c r="C30" s="25"/>
    </row>
    <row r="31" spans="1:3" s="4" customFormat="1">
      <c r="A31" s="23"/>
      <c r="B31" s="2"/>
      <c r="C31" s="3"/>
    </row>
    <row r="32" spans="1:3" s="4" customFormat="1">
      <c r="A32" s="23"/>
      <c r="B32" s="2"/>
      <c r="C32" s="3"/>
    </row>
    <row r="33" spans="1:5" s="4" customFormat="1" ht="13.5" thickBot="1">
      <c r="A33" s="26"/>
      <c r="B33" s="27"/>
      <c r="C33" s="28"/>
      <c r="D33" s="29"/>
    </row>
    <row r="34" spans="1:5" s="4" customFormat="1">
      <c r="B34" s="29"/>
    </row>
    <row r="35" spans="1:5" s="4" customFormat="1">
      <c r="B35" s="29"/>
    </row>
    <row r="36" spans="1:5" ht="20.100000000000001" customHeight="1">
      <c r="A36" s="30"/>
      <c r="B36" s="30"/>
      <c r="C36" s="31"/>
      <c r="D36" s="31"/>
      <c r="E36" s="31"/>
    </row>
    <row r="37" spans="1:5" ht="20.100000000000001" customHeight="1">
      <c r="A37" s="30"/>
      <c r="B37" s="30"/>
      <c r="C37" s="31"/>
      <c r="D37" s="31"/>
      <c r="E37" s="31"/>
    </row>
    <row r="38" spans="1:5" ht="20.100000000000001" customHeight="1">
      <c r="A38" s="30"/>
      <c r="B38" s="30"/>
      <c r="C38" s="31"/>
      <c r="D38" s="31"/>
      <c r="E38" s="31"/>
    </row>
    <row r="39" spans="1:5" ht="24.95" customHeight="1">
      <c r="A39" s="33"/>
      <c r="B39" s="34"/>
      <c r="C39" s="35"/>
      <c r="D39" s="34"/>
      <c r="E39" s="34"/>
    </row>
    <row r="40" spans="1:5" ht="24.95" customHeight="1">
      <c r="A40" s="33"/>
      <c r="B40" s="34"/>
      <c r="C40" s="34"/>
      <c r="D40" s="34"/>
      <c r="E40" s="34"/>
    </row>
    <row r="41" spans="1:5" ht="24.95" customHeight="1">
      <c r="A41" s="33"/>
      <c r="B41" s="34"/>
      <c r="C41" s="34"/>
      <c r="D41" s="34"/>
      <c r="E41" s="34"/>
    </row>
    <row r="42" spans="1:5" ht="24.95" customHeight="1">
      <c r="A42" s="34"/>
      <c r="B42" s="36"/>
      <c r="C42" s="34"/>
      <c r="D42" s="34"/>
      <c r="E42" s="34"/>
    </row>
    <row r="43" spans="1:5">
      <c r="A43" s="37"/>
      <c r="B43" s="37"/>
      <c r="C43" s="37"/>
      <c r="D43" s="37"/>
      <c r="E43" s="37"/>
    </row>
    <row r="44" spans="1:5" s="4" customFormat="1" ht="15" customHeight="1">
      <c r="A44" s="38"/>
    </row>
    <row r="45" spans="1:5" s="4" customFormat="1" ht="15" customHeight="1"/>
    <row r="46" spans="1:5" s="4" customFormat="1" ht="15" customHeight="1"/>
    <row r="47" spans="1:5" s="4" customFormat="1" ht="15" customHeight="1">
      <c r="A47" s="38"/>
    </row>
    <row r="48" spans="1:5" s="4" customFormat="1">
      <c r="A48" s="38"/>
    </row>
    <row r="49" spans="1:5" s="4" customFormat="1">
      <c r="B49" s="39"/>
    </row>
    <row r="50" spans="1:5" s="4" customFormat="1"/>
    <row r="51" spans="1:5" s="4" customFormat="1"/>
    <row r="52" spans="1:5" s="4" customFormat="1"/>
    <row r="53" spans="1:5" s="4" customFormat="1"/>
    <row r="54" spans="1:5" s="4" customFormat="1">
      <c r="A54" s="38"/>
    </row>
    <row r="55" spans="1:5" s="4" customFormat="1"/>
    <row r="56" spans="1:5" s="4" customFormat="1"/>
    <row r="57" spans="1:5" s="4" customFormat="1">
      <c r="A57" s="38"/>
    </row>
    <row r="58" spans="1:5" s="4" customFormat="1">
      <c r="A58" s="38"/>
    </row>
    <row r="59" spans="1:5" s="4" customFormat="1">
      <c r="A59" s="38"/>
    </row>
    <row r="60" spans="1:5" s="4" customFormat="1" ht="12.6" customHeight="1">
      <c r="A60" s="38"/>
    </row>
    <row r="61" spans="1:5" s="4" customFormat="1" ht="15" customHeight="1">
      <c r="A61" s="38"/>
    </row>
    <row r="62" spans="1:5" s="4" customFormat="1" ht="15" customHeight="1">
      <c r="A62" s="38"/>
    </row>
    <row r="63" spans="1:5" s="4" customFormat="1" ht="15" customHeight="1">
      <c r="A63" s="38"/>
    </row>
    <row r="64" spans="1:5" ht="15" customHeight="1">
      <c r="A64" s="40"/>
      <c r="B64" s="40"/>
      <c r="C64" s="40"/>
      <c r="D64" s="40"/>
      <c r="E64" s="40"/>
    </row>
    <row r="65" spans="1:5" ht="15" customHeight="1">
      <c r="A65" s="40"/>
      <c r="B65" s="40"/>
      <c r="C65" s="40"/>
      <c r="D65" s="40"/>
      <c r="E65" s="40"/>
    </row>
  </sheetData>
  <mergeCells count="1">
    <mergeCell ref="A1:C3"/>
  </mergeCells>
  <printOptions horizontalCentered="1"/>
  <pageMargins left="0.25" right="0.25" top="0.5" bottom="0.5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>
      <selection activeCell="F48" sqref="F48"/>
    </sheetView>
  </sheetViews>
  <sheetFormatPr defaultColWidth="33.42578125" defaultRowHeight="12.75"/>
  <cols>
    <col min="1" max="1" width="9.140625" style="42" customWidth="1"/>
    <col min="2" max="2" width="37" style="42" customWidth="1"/>
    <col min="3" max="3" width="34.28515625" style="56" customWidth="1"/>
    <col min="4" max="255" width="9.140625" style="42" customWidth="1"/>
    <col min="256" max="16384" width="33.42578125" style="42"/>
  </cols>
  <sheetData>
    <row r="1" spans="1:6" ht="12.75" customHeight="1">
      <c r="A1" s="599" t="s">
        <v>7</v>
      </c>
      <c r="B1" s="599"/>
      <c r="C1" s="599"/>
    </row>
    <row r="2" spans="1:6" ht="12.75" customHeight="1">
      <c r="A2" s="599"/>
      <c r="B2" s="599"/>
      <c r="C2" s="599"/>
    </row>
    <row r="3" spans="1:6" ht="12.75" customHeight="1">
      <c r="A3" s="599"/>
      <c r="B3" s="599"/>
      <c r="C3" s="599"/>
    </row>
    <row r="4" spans="1:6" ht="19.5" customHeight="1">
      <c r="A4" s="600" t="s">
        <v>442</v>
      </c>
      <c r="B4" s="600"/>
      <c r="C4" s="600"/>
      <c r="F4" s="43"/>
    </row>
    <row r="5" spans="1:6" ht="19.5" customHeight="1">
      <c r="A5" s="600" t="s">
        <v>438</v>
      </c>
      <c r="B5" s="600"/>
      <c r="C5" s="600"/>
    </row>
    <row r="6" spans="1:6" ht="19.5" customHeight="1">
      <c r="A6" s="601" t="s">
        <v>445</v>
      </c>
      <c r="B6" s="602"/>
      <c r="C6" s="603"/>
    </row>
    <row r="7" spans="1:6" ht="22.5" customHeight="1">
      <c r="A7" s="44" t="s">
        <v>8</v>
      </c>
      <c r="B7" s="45" t="s">
        <v>9</v>
      </c>
      <c r="C7" s="46" t="s">
        <v>10</v>
      </c>
    </row>
    <row r="8" spans="1:6" ht="20.100000000000001" customHeight="1">
      <c r="A8" s="47">
        <v>1</v>
      </c>
      <c r="B8" s="48" t="s">
        <v>11</v>
      </c>
      <c r="C8" s="49" t="s">
        <v>436</v>
      </c>
    </row>
    <row r="9" spans="1:6" ht="22.5" customHeight="1">
      <c r="A9" s="47">
        <v>2</v>
      </c>
      <c r="B9" s="48" t="s">
        <v>12</v>
      </c>
      <c r="C9" s="49" t="s">
        <v>436</v>
      </c>
    </row>
    <row r="10" spans="1:6" ht="20.100000000000001" customHeight="1">
      <c r="A10" s="47">
        <v>3</v>
      </c>
      <c r="B10" s="48" t="s">
        <v>13</v>
      </c>
      <c r="C10" s="49" t="s">
        <v>436</v>
      </c>
    </row>
    <row r="11" spans="1:6" ht="20.100000000000001" customHeight="1">
      <c r="A11" s="47">
        <v>4</v>
      </c>
      <c r="B11" s="48" t="s">
        <v>14</v>
      </c>
      <c r="C11" s="49" t="s">
        <v>436</v>
      </c>
    </row>
    <row r="12" spans="1:6" ht="20.100000000000001" customHeight="1">
      <c r="A12" s="47">
        <v>5</v>
      </c>
      <c r="B12" s="48" t="s">
        <v>15</v>
      </c>
      <c r="C12" s="49" t="s">
        <v>436</v>
      </c>
    </row>
    <row r="13" spans="1:6" ht="20.100000000000001" customHeight="1">
      <c r="A13" s="540" t="s">
        <v>453</v>
      </c>
      <c r="B13" s="48" t="s">
        <v>16</v>
      </c>
      <c r="C13" s="49" t="s">
        <v>436</v>
      </c>
    </row>
    <row r="14" spans="1:6" ht="20.100000000000001" customHeight="1">
      <c r="A14" s="47">
        <v>7</v>
      </c>
      <c r="B14" s="48" t="s">
        <v>17</v>
      </c>
      <c r="C14" s="49" t="s">
        <v>436</v>
      </c>
    </row>
    <row r="15" spans="1:6" ht="20.100000000000001" customHeight="1">
      <c r="A15" s="47">
        <v>8</v>
      </c>
      <c r="B15" s="48" t="s">
        <v>18</v>
      </c>
      <c r="C15" s="49" t="s">
        <v>279</v>
      </c>
    </row>
    <row r="16" spans="1:6" ht="20.100000000000001" customHeight="1">
      <c r="A16" s="47">
        <v>9</v>
      </c>
      <c r="B16" s="48" t="s">
        <v>19</v>
      </c>
      <c r="C16" s="49" t="s">
        <v>279</v>
      </c>
    </row>
    <row r="17" spans="1:3" ht="20.100000000000001" customHeight="1">
      <c r="A17" s="47">
        <v>10</v>
      </c>
      <c r="B17" s="48" t="s">
        <v>20</v>
      </c>
      <c r="C17" s="49" t="s">
        <v>436</v>
      </c>
    </row>
    <row r="18" spans="1:3" ht="20.100000000000001" customHeight="1">
      <c r="A18" s="47">
        <v>11</v>
      </c>
      <c r="B18" s="48" t="s">
        <v>21</v>
      </c>
      <c r="C18" s="49" t="s">
        <v>279</v>
      </c>
    </row>
    <row r="19" spans="1:3" ht="20.100000000000001" customHeight="1">
      <c r="A19" s="47">
        <v>12</v>
      </c>
      <c r="B19" s="48" t="s">
        <v>22</v>
      </c>
      <c r="C19" s="49" t="s">
        <v>436</v>
      </c>
    </row>
    <row r="20" spans="1:3" ht="20.100000000000001" customHeight="1">
      <c r="A20" s="47">
        <v>13</v>
      </c>
      <c r="B20" s="48" t="s">
        <v>23</v>
      </c>
      <c r="C20" s="50" t="s">
        <v>436</v>
      </c>
    </row>
    <row r="21" spans="1:3" ht="20.100000000000001" customHeight="1">
      <c r="A21" s="47">
        <v>14</v>
      </c>
      <c r="B21" s="48" t="s">
        <v>24</v>
      </c>
      <c r="C21" s="49" t="s">
        <v>279</v>
      </c>
    </row>
    <row r="22" spans="1:3" ht="20.100000000000001" customHeight="1">
      <c r="A22" s="47">
        <v>15</v>
      </c>
      <c r="B22" s="48" t="s">
        <v>25</v>
      </c>
      <c r="C22" s="49" t="s">
        <v>279</v>
      </c>
    </row>
    <row r="23" spans="1:3" ht="20.100000000000001" customHeight="1">
      <c r="A23" s="47">
        <v>16</v>
      </c>
      <c r="B23" s="48" t="s">
        <v>26</v>
      </c>
      <c r="C23" s="49" t="s">
        <v>279</v>
      </c>
    </row>
    <row r="24" spans="1:3" ht="20.100000000000001" customHeight="1">
      <c r="A24" s="47">
        <v>17</v>
      </c>
      <c r="B24" s="48" t="s">
        <v>27</v>
      </c>
      <c r="C24" s="49" t="s">
        <v>436</v>
      </c>
    </row>
    <row r="25" spans="1:3" ht="20.100000000000001" customHeight="1">
      <c r="A25" s="47">
        <v>18</v>
      </c>
      <c r="B25" s="48" t="s">
        <v>28</v>
      </c>
      <c r="C25" s="49" t="s">
        <v>436</v>
      </c>
    </row>
    <row r="26" spans="1:3" ht="20.100000000000001" customHeight="1">
      <c r="A26" s="47">
        <v>19</v>
      </c>
      <c r="B26" s="48" t="s">
        <v>29</v>
      </c>
      <c r="C26" s="49" t="s">
        <v>436</v>
      </c>
    </row>
    <row r="27" spans="1:3" ht="20.100000000000001" customHeight="1">
      <c r="A27" s="47">
        <v>20</v>
      </c>
      <c r="B27" s="48" t="s">
        <v>30</v>
      </c>
      <c r="C27" s="49" t="s">
        <v>279</v>
      </c>
    </row>
    <row r="28" spans="1:3" ht="20.100000000000001" customHeight="1">
      <c r="A28" s="47">
        <v>21</v>
      </c>
      <c r="B28" s="48" t="s">
        <v>31</v>
      </c>
      <c r="C28" s="49" t="s">
        <v>436</v>
      </c>
    </row>
    <row r="29" spans="1:3" ht="20.100000000000001" customHeight="1">
      <c r="A29" s="47">
        <v>22</v>
      </c>
      <c r="B29" s="51" t="s">
        <v>32</v>
      </c>
      <c r="C29" s="49" t="s">
        <v>279</v>
      </c>
    </row>
    <row r="30" spans="1:3" ht="20.100000000000001" customHeight="1">
      <c r="A30" s="47">
        <v>23</v>
      </c>
      <c r="B30" s="48" t="s">
        <v>33</v>
      </c>
      <c r="C30" s="47" t="s">
        <v>279</v>
      </c>
    </row>
    <row r="31" spans="1:3" ht="20.100000000000001" customHeight="1">
      <c r="A31" s="47">
        <v>24</v>
      </c>
      <c r="B31" s="48" t="s">
        <v>34</v>
      </c>
      <c r="C31" s="49" t="s">
        <v>279</v>
      </c>
    </row>
    <row r="32" spans="1:3" ht="20.100000000000001" customHeight="1">
      <c r="A32" s="47">
        <v>25</v>
      </c>
      <c r="B32" s="48" t="s">
        <v>35</v>
      </c>
      <c r="C32" s="47" t="s">
        <v>279</v>
      </c>
    </row>
    <row r="33" spans="1:5" ht="20.100000000000001" customHeight="1">
      <c r="A33" s="47">
        <v>26</v>
      </c>
      <c r="B33" s="52" t="s">
        <v>36</v>
      </c>
      <c r="C33" s="53" t="s">
        <v>436</v>
      </c>
    </row>
    <row r="34" spans="1:5" ht="30" customHeight="1">
      <c r="A34" s="47">
        <v>27</v>
      </c>
      <c r="B34" s="48" t="s">
        <v>37</v>
      </c>
      <c r="C34" s="53" t="s">
        <v>436</v>
      </c>
      <c r="D34" s="54"/>
      <c r="E34" s="55"/>
    </row>
    <row r="35" spans="1:5" ht="24" customHeight="1">
      <c r="A35" s="47">
        <v>28</v>
      </c>
      <c r="B35" s="48" t="s">
        <v>38</v>
      </c>
      <c r="C35" s="53" t="s">
        <v>436</v>
      </c>
      <c r="D35" s="54"/>
      <c r="E35" s="55"/>
    </row>
    <row r="36" spans="1:5" ht="26.25" customHeight="1">
      <c r="A36" s="47">
        <v>29</v>
      </c>
      <c r="B36" s="48" t="s">
        <v>39</v>
      </c>
      <c r="C36" s="47" t="s">
        <v>436</v>
      </c>
    </row>
    <row r="38" spans="1:5" ht="14.25">
      <c r="A38" s="57"/>
      <c r="B38" s="58" t="s">
        <v>40</v>
      </c>
      <c r="C38" s="59"/>
    </row>
    <row r="39" spans="1:5" ht="14.25">
      <c r="A39" s="60"/>
      <c r="B39" s="58" t="s">
        <v>41</v>
      </c>
      <c r="C39" s="59"/>
    </row>
  </sheetData>
  <mergeCells count="4">
    <mergeCell ref="A1:C3"/>
    <mergeCell ref="A4:C4"/>
    <mergeCell ref="A5:C5"/>
    <mergeCell ref="A6:C6"/>
  </mergeCells>
  <pageMargins left="0.74803149606299213" right="0.74803149606299213" top="7.874015748031496E-2" bottom="7.874015748031496E-2" header="0.11811023622047245" footer="3.937007874015748E-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4"/>
  <sheetViews>
    <sheetView view="pageBreakPreview" topLeftCell="B46" zoomScaleSheetLayoutView="100" workbookViewId="0">
      <selection activeCell="E54" sqref="E54"/>
    </sheetView>
  </sheetViews>
  <sheetFormatPr defaultRowHeight="12.75"/>
  <cols>
    <col min="1" max="1" width="25.28515625" style="249" customWidth="1"/>
    <col min="2" max="2" width="28.42578125" style="249" customWidth="1"/>
    <col min="3" max="3" width="20.42578125" style="249" customWidth="1"/>
    <col min="4" max="4" width="27.42578125" style="249" customWidth="1"/>
    <col min="5" max="5" width="27.85546875" style="249" customWidth="1"/>
    <col min="6" max="6" width="16" style="249" customWidth="1"/>
    <col min="7" max="7" width="15.28515625" style="249" customWidth="1"/>
    <col min="8" max="8" width="12.140625" style="249" customWidth="1"/>
    <col min="9" max="9" width="11.5703125" style="249" customWidth="1"/>
    <col min="10" max="10" width="8.7109375" style="249" customWidth="1"/>
    <col min="11" max="11" width="11.5703125" style="249" customWidth="1"/>
    <col min="12" max="12" width="12.28515625" style="249" customWidth="1"/>
    <col min="13" max="256" width="9.140625" style="249"/>
    <col min="257" max="257" width="23" style="249" customWidth="1"/>
    <col min="258" max="258" width="28.42578125" style="249" customWidth="1"/>
    <col min="259" max="259" width="20.42578125" style="249" customWidth="1"/>
    <col min="260" max="260" width="27.42578125" style="249" customWidth="1"/>
    <col min="261" max="261" width="27.85546875" style="249" customWidth="1"/>
    <col min="262" max="262" width="16" style="249" customWidth="1"/>
    <col min="263" max="263" width="15.28515625" style="249" customWidth="1"/>
    <col min="264" max="264" width="12.140625" style="249" customWidth="1"/>
    <col min="265" max="265" width="11.5703125" style="249" customWidth="1"/>
    <col min="266" max="266" width="8.7109375" style="249" customWidth="1"/>
    <col min="267" max="267" width="11.5703125" style="249" customWidth="1"/>
    <col min="268" max="268" width="12.28515625" style="249" customWidth="1"/>
    <col min="269" max="512" width="9.140625" style="249"/>
    <col min="513" max="513" width="23" style="249" customWidth="1"/>
    <col min="514" max="514" width="28.42578125" style="249" customWidth="1"/>
    <col min="515" max="515" width="20.42578125" style="249" customWidth="1"/>
    <col min="516" max="516" width="27.42578125" style="249" customWidth="1"/>
    <col min="517" max="517" width="27.85546875" style="249" customWidth="1"/>
    <col min="518" max="518" width="16" style="249" customWidth="1"/>
    <col min="519" max="519" width="15.28515625" style="249" customWidth="1"/>
    <col min="520" max="520" width="12.140625" style="249" customWidth="1"/>
    <col min="521" max="521" width="11.5703125" style="249" customWidth="1"/>
    <col min="522" max="522" width="8.7109375" style="249" customWidth="1"/>
    <col min="523" max="523" width="11.5703125" style="249" customWidth="1"/>
    <col min="524" max="524" width="12.28515625" style="249" customWidth="1"/>
    <col min="525" max="768" width="9.140625" style="249"/>
    <col min="769" max="769" width="23" style="249" customWidth="1"/>
    <col min="770" max="770" width="28.42578125" style="249" customWidth="1"/>
    <col min="771" max="771" width="20.42578125" style="249" customWidth="1"/>
    <col min="772" max="772" width="27.42578125" style="249" customWidth="1"/>
    <col min="773" max="773" width="27.85546875" style="249" customWidth="1"/>
    <col min="774" max="774" width="16" style="249" customWidth="1"/>
    <col min="775" max="775" width="15.28515625" style="249" customWidth="1"/>
    <col min="776" max="776" width="12.140625" style="249" customWidth="1"/>
    <col min="777" max="777" width="11.5703125" style="249" customWidth="1"/>
    <col min="778" max="778" width="8.7109375" style="249" customWidth="1"/>
    <col min="779" max="779" width="11.5703125" style="249" customWidth="1"/>
    <col min="780" max="780" width="12.28515625" style="249" customWidth="1"/>
    <col min="781" max="1024" width="9.140625" style="249"/>
    <col min="1025" max="1025" width="23" style="249" customWidth="1"/>
    <col min="1026" max="1026" width="28.42578125" style="249" customWidth="1"/>
    <col min="1027" max="1027" width="20.42578125" style="249" customWidth="1"/>
    <col min="1028" max="1028" width="27.42578125" style="249" customWidth="1"/>
    <col min="1029" max="1029" width="27.85546875" style="249" customWidth="1"/>
    <col min="1030" max="1030" width="16" style="249" customWidth="1"/>
    <col min="1031" max="1031" width="15.28515625" style="249" customWidth="1"/>
    <col min="1032" max="1032" width="12.140625" style="249" customWidth="1"/>
    <col min="1033" max="1033" width="11.5703125" style="249" customWidth="1"/>
    <col min="1034" max="1034" width="8.7109375" style="249" customWidth="1"/>
    <col min="1035" max="1035" width="11.5703125" style="249" customWidth="1"/>
    <col min="1036" max="1036" width="12.28515625" style="249" customWidth="1"/>
    <col min="1037" max="1280" width="9.140625" style="249"/>
    <col min="1281" max="1281" width="23" style="249" customWidth="1"/>
    <col min="1282" max="1282" width="28.42578125" style="249" customWidth="1"/>
    <col min="1283" max="1283" width="20.42578125" style="249" customWidth="1"/>
    <col min="1284" max="1284" width="27.42578125" style="249" customWidth="1"/>
    <col min="1285" max="1285" width="27.85546875" style="249" customWidth="1"/>
    <col min="1286" max="1286" width="16" style="249" customWidth="1"/>
    <col min="1287" max="1287" width="15.28515625" style="249" customWidth="1"/>
    <col min="1288" max="1288" width="12.140625" style="249" customWidth="1"/>
    <col min="1289" max="1289" width="11.5703125" style="249" customWidth="1"/>
    <col min="1290" max="1290" width="8.7109375" style="249" customWidth="1"/>
    <col min="1291" max="1291" width="11.5703125" style="249" customWidth="1"/>
    <col min="1292" max="1292" width="12.28515625" style="249" customWidth="1"/>
    <col min="1293" max="1536" width="9.140625" style="249"/>
    <col min="1537" max="1537" width="23" style="249" customWidth="1"/>
    <col min="1538" max="1538" width="28.42578125" style="249" customWidth="1"/>
    <col min="1539" max="1539" width="20.42578125" style="249" customWidth="1"/>
    <col min="1540" max="1540" width="27.42578125" style="249" customWidth="1"/>
    <col min="1541" max="1541" width="27.85546875" style="249" customWidth="1"/>
    <col min="1542" max="1542" width="16" style="249" customWidth="1"/>
    <col min="1543" max="1543" width="15.28515625" style="249" customWidth="1"/>
    <col min="1544" max="1544" width="12.140625" style="249" customWidth="1"/>
    <col min="1545" max="1545" width="11.5703125" style="249" customWidth="1"/>
    <col min="1546" max="1546" width="8.7109375" style="249" customWidth="1"/>
    <col min="1547" max="1547" width="11.5703125" style="249" customWidth="1"/>
    <col min="1548" max="1548" width="12.28515625" style="249" customWidth="1"/>
    <col min="1549" max="1792" width="9.140625" style="249"/>
    <col min="1793" max="1793" width="23" style="249" customWidth="1"/>
    <col min="1794" max="1794" width="28.42578125" style="249" customWidth="1"/>
    <col min="1795" max="1795" width="20.42578125" style="249" customWidth="1"/>
    <col min="1796" max="1796" width="27.42578125" style="249" customWidth="1"/>
    <col min="1797" max="1797" width="27.85546875" style="249" customWidth="1"/>
    <col min="1798" max="1798" width="16" style="249" customWidth="1"/>
    <col min="1799" max="1799" width="15.28515625" style="249" customWidth="1"/>
    <col min="1800" max="1800" width="12.140625" style="249" customWidth="1"/>
    <col min="1801" max="1801" width="11.5703125" style="249" customWidth="1"/>
    <col min="1802" max="1802" width="8.7109375" style="249" customWidth="1"/>
    <col min="1803" max="1803" width="11.5703125" style="249" customWidth="1"/>
    <col min="1804" max="1804" width="12.28515625" style="249" customWidth="1"/>
    <col min="1805" max="2048" width="9.140625" style="249"/>
    <col min="2049" max="2049" width="23" style="249" customWidth="1"/>
    <col min="2050" max="2050" width="28.42578125" style="249" customWidth="1"/>
    <col min="2051" max="2051" width="20.42578125" style="249" customWidth="1"/>
    <col min="2052" max="2052" width="27.42578125" style="249" customWidth="1"/>
    <col min="2053" max="2053" width="27.85546875" style="249" customWidth="1"/>
    <col min="2054" max="2054" width="16" style="249" customWidth="1"/>
    <col min="2055" max="2055" width="15.28515625" style="249" customWidth="1"/>
    <col min="2056" max="2056" width="12.140625" style="249" customWidth="1"/>
    <col min="2057" max="2057" width="11.5703125" style="249" customWidth="1"/>
    <col min="2058" max="2058" width="8.7109375" style="249" customWidth="1"/>
    <col min="2059" max="2059" width="11.5703125" style="249" customWidth="1"/>
    <col min="2060" max="2060" width="12.28515625" style="249" customWidth="1"/>
    <col min="2061" max="2304" width="9.140625" style="249"/>
    <col min="2305" max="2305" width="23" style="249" customWidth="1"/>
    <col min="2306" max="2306" width="28.42578125" style="249" customWidth="1"/>
    <col min="2307" max="2307" width="20.42578125" style="249" customWidth="1"/>
    <col min="2308" max="2308" width="27.42578125" style="249" customWidth="1"/>
    <col min="2309" max="2309" width="27.85546875" style="249" customWidth="1"/>
    <col min="2310" max="2310" width="16" style="249" customWidth="1"/>
    <col min="2311" max="2311" width="15.28515625" style="249" customWidth="1"/>
    <col min="2312" max="2312" width="12.140625" style="249" customWidth="1"/>
    <col min="2313" max="2313" width="11.5703125" style="249" customWidth="1"/>
    <col min="2314" max="2314" width="8.7109375" style="249" customWidth="1"/>
    <col min="2315" max="2315" width="11.5703125" style="249" customWidth="1"/>
    <col min="2316" max="2316" width="12.28515625" style="249" customWidth="1"/>
    <col min="2317" max="2560" width="9.140625" style="249"/>
    <col min="2561" max="2561" width="23" style="249" customWidth="1"/>
    <col min="2562" max="2562" width="28.42578125" style="249" customWidth="1"/>
    <col min="2563" max="2563" width="20.42578125" style="249" customWidth="1"/>
    <col min="2564" max="2564" width="27.42578125" style="249" customWidth="1"/>
    <col min="2565" max="2565" width="27.85546875" style="249" customWidth="1"/>
    <col min="2566" max="2566" width="16" style="249" customWidth="1"/>
    <col min="2567" max="2567" width="15.28515625" style="249" customWidth="1"/>
    <col min="2568" max="2568" width="12.140625" style="249" customWidth="1"/>
    <col min="2569" max="2569" width="11.5703125" style="249" customWidth="1"/>
    <col min="2570" max="2570" width="8.7109375" style="249" customWidth="1"/>
    <col min="2571" max="2571" width="11.5703125" style="249" customWidth="1"/>
    <col min="2572" max="2572" width="12.28515625" style="249" customWidth="1"/>
    <col min="2573" max="2816" width="9.140625" style="249"/>
    <col min="2817" max="2817" width="23" style="249" customWidth="1"/>
    <col min="2818" max="2818" width="28.42578125" style="249" customWidth="1"/>
    <col min="2819" max="2819" width="20.42578125" style="249" customWidth="1"/>
    <col min="2820" max="2820" width="27.42578125" style="249" customWidth="1"/>
    <col min="2821" max="2821" width="27.85546875" style="249" customWidth="1"/>
    <col min="2822" max="2822" width="16" style="249" customWidth="1"/>
    <col min="2823" max="2823" width="15.28515625" style="249" customWidth="1"/>
    <col min="2824" max="2824" width="12.140625" style="249" customWidth="1"/>
    <col min="2825" max="2825" width="11.5703125" style="249" customWidth="1"/>
    <col min="2826" max="2826" width="8.7109375" style="249" customWidth="1"/>
    <col min="2827" max="2827" width="11.5703125" style="249" customWidth="1"/>
    <col min="2828" max="2828" width="12.28515625" style="249" customWidth="1"/>
    <col min="2829" max="3072" width="9.140625" style="249"/>
    <col min="3073" max="3073" width="23" style="249" customWidth="1"/>
    <col min="3074" max="3074" width="28.42578125" style="249" customWidth="1"/>
    <col min="3075" max="3075" width="20.42578125" style="249" customWidth="1"/>
    <col min="3076" max="3076" width="27.42578125" style="249" customWidth="1"/>
    <col min="3077" max="3077" width="27.85546875" style="249" customWidth="1"/>
    <col min="3078" max="3078" width="16" style="249" customWidth="1"/>
    <col min="3079" max="3079" width="15.28515625" style="249" customWidth="1"/>
    <col min="3080" max="3080" width="12.140625" style="249" customWidth="1"/>
    <col min="3081" max="3081" width="11.5703125" style="249" customWidth="1"/>
    <col min="3082" max="3082" width="8.7109375" style="249" customWidth="1"/>
    <col min="3083" max="3083" width="11.5703125" style="249" customWidth="1"/>
    <col min="3084" max="3084" width="12.28515625" style="249" customWidth="1"/>
    <col min="3085" max="3328" width="9.140625" style="249"/>
    <col min="3329" max="3329" width="23" style="249" customWidth="1"/>
    <col min="3330" max="3330" width="28.42578125" style="249" customWidth="1"/>
    <col min="3331" max="3331" width="20.42578125" style="249" customWidth="1"/>
    <col min="3332" max="3332" width="27.42578125" style="249" customWidth="1"/>
    <col min="3333" max="3333" width="27.85546875" style="249" customWidth="1"/>
    <col min="3334" max="3334" width="16" style="249" customWidth="1"/>
    <col min="3335" max="3335" width="15.28515625" style="249" customWidth="1"/>
    <col min="3336" max="3336" width="12.140625" style="249" customWidth="1"/>
    <col min="3337" max="3337" width="11.5703125" style="249" customWidth="1"/>
    <col min="3338" max="3338" width="8.7109375" style="249" customWidth="1"/>
    <col min="3339" max="3339" width="11.5703125" style="249" customWidth="1"/>
    <col min="3340" max="3340" width="12.28515625" style="249" customWidth="1"/>
    <col min="3341" max="3584" width="9.140625" style="249"/>
    <col min="3585" max="3585" width="23" style="249" customWidth="1"/>
    <col min="3586" max="3586" width="28.42578125" style="249" customWidth="1"/>
    <col min="3587" max="3587" width="20.42578125" style="249" customWidth="1"/>
    <col min="3588" max="3588" width="27.42578125" style="249" customWidth="1"/>
    <col min="3589" max="3589" width="27.85546875" style="249" customWidth="1"/>
    <col min="3590" max="3590" width="16" style="249" customWidth="1"/>
    <col min="3591" max="3591" width="15.28515625" style="249" customWidth="1"/>
    <col min="3592" max="3592" width="12.140625" style="249" customWidth="1"/>
    <col min="3593" max="3593" width="11.5703125" style="249" customWidth="1"/>
    <col min="3594" max="3594" width="8.7109375" style="249" customWidth="1"/>
    <col min="3595" max="3595" width="11.5703125" style="249" customWidth="1"/>
    <col min="3596" max="3596" width="12.28515625" style="249" customWidth="1"/>
    <col min="3597" max="3840" width="9.140625" style="249"/>
    <col min="3841" max="3841" width="23" style="249" customWidth="1"/>
    <col min="3842" max="3842" width="28.42578125" style="249" customWidth="1"/>
    <col min="3843" max="3843" width="20.42578125" style="249" customWidth="1"/>
    <col min="3844" max="3844" width="27.42578125" style="249" customWidth="1"/>
    <col min="3845" max="3845" width="27.85546875" style="249" customWidth="1"/>
    <col min="3846" max="3846" width="16" style="249" customWidth="1"/>
    <col min="3847" max="3847" width="15.28515625" style="249" customWidth="1"/>
    <col min="3848" max="3848" width="12.140625" style="249" customWidth="1"/>
    <col min="3849" max="3849" width="11.5703125" style="249" customWidth="1"/>
    <col min="3850" max="3850" width="8.7109375" style="249" customWidth="1"/>
    <col min="3851" max="3851" width="11.5703125" style="249" customWidth="1"/>
    <col min="3852" max="3852" width="12.28515625" style="249" customWidth="1"/>
    <col min="3853" max="4096" width="9.140625" style="249"/>
    <col min="4097" max="4097" width="23" style="249" customWidth="1"/>
    <col min="4098" max="4098" width="28.42578125" style="249" customWidth="1"/>
    <col min="4099" max="4099" width="20.42578125" style="249" customWidth="1"/>
    <col min="4100" max="4100" width="27.42578125" style="249" customWidth="1"/>
    <col min="4101" max="4101" width="27.85546875" style="249" customWidth="1"/>
    <col min="4102" max="4102" width="16" style="249" customWidth="1"/>
    <col min="4103" max="4103" width="15.28515625" style="249" customWidth="1"/>
    <col min="4104" max="4104" width="12.140625" style="249" customWidth="1"/>
    <col min="4105" max="4105" width="11.5703125" style="249" customWidth="1"/>
    <col min="4106" max="4106" width="8.7109375" style="249" customWidth="1"/>
    <col min="4107" max="4107" width="11.5703125" style="249" customWidth="1"/>
    <col min="4108" max="4108" width="12.28515625" style="249" customWidth="1"/>
    <col min="4109" max="4352" width="9.140625" style="249"/>
    <col min="4353" max="4353" width="23" style="249" customWidth="1"/>
    <col min="4354" max="4354" width="28.42578125" style="249" customWidth="1"/>
    <col min="4355" max="4355" width="20.42578125" style="249" customWidth="1"/>
    <col min="4356" max="4356" width="27.42578125" style="249" customWidth="1"/>
    <col min="4357" max="4357" width="27.85546875" style="249" customWidth="1"/>
    <col min="4358" max="4358" width="16" style="249" customWidth="1"/>
    <col min="4359" max="4359" width="15.28515625" style="249" customWidth="1"/>
    <col min="4360" max="4360" width="12.140625" style="249" customWidth="1"/>
    <col min="4361" max="4361" width="11.5703125" style="249" customWidth="1"/>
    <col min="4362" max="4362" width="8.7109375" style="249" customWidth="1"/>
    <col min="4363" max="4363" width="11.5703125" style="249" customWidth="1"/>
    <col min="4364" max="4364" width="12.28515625" style="249" customWidth="1"/>
    <col min="4365" max="4608" width="9.140625" style="249"/>
    <col min="4609" max="4609" width="23" style="249" customWidth="1"/>
    <col min="4610" max="4610" width="28.42578125" style="249" customWidth="1"/>
    <col min="4611" max="4611" width="20.42578125" style="249" customWidth="1"/>
    <col min="4612" max="4612" width="27.42578125" style="249" customWidth="1"/>
    <col min="4613" max="4613" width="27.85546875" style="249" customWidth="1"/>
    <col min="4614" max="4614" width="16" style="249" customWidth="1"/>
    <col min="4615" max="4615" width="15.28515625" style="249" customWidth="1"/>
    <col min="4616" max="4616" width="12.140625" style="249" customWidth="1"/>
    <col min="4617" max="4617" width="11.5703125" style="249" customWidth="1"/>
    <col min="4618" max="4618" width="8.7109375" style="249" customWidth="1"/>
    <col min="4619" max="4619" width="11.5703125" style="249" customWidth="1"/>
    <col min="4620" max="4620" width="12.28515625" style="249" customWidth="1"/>
    <col min="4621" max="4864" width="9.140625" style="249"/>
    <col min="4865" max="4865" width="23" style="249" customWidth="1"/>
    <col min="4866" max="4866" width="28.42578125" style="249" customWidth="1"/>
    <col min="4867" max="4867" width="20.42578125" style="249" customWidth="1"/>
    <col min="4868" max="4868" width="27.42578125" style="249" customWidth="1"/>
    <col min="4869" max="4869" width="27.85546875" style="249" customWidth="1"/>
    <col min="4870" max="4870" width="16" style="249" customWidth="1"/>
    <col min="4871" max="4871" width="15.28515625" style="249" customWidth="1"/>
    <col min="4872" max="4872" width="12.140625" style="249" customWidth="1"/>
    <col min="4873" max="4873" width="11.5703125" style="249" customWidth="1"/>
    <col min="4874" max="4874" width="8.7109375" style="249" customWidth="1"/>
    <col min="4875" max="4875" width="11.5703125" style="249" customWidth="1"/>
    <col min="4876" max="4876" width="12.28515625" style="249" customWidth="1"/>
    <col min="4877" max="5120" width="9.140625" style="249"/>
    <col min="5121" max="5121" width="23" style="249" customWidth="1"/>
    <col min="5122" max="5122" width="28.42578125" style="249" customWidth="1"/>
    <col min="5123" max="5123" width="20.42578125" style="249" customWidth="1"/>
    <col min="5124" max="5124" width="27.42578125" style="249" customWidth="1"/>
    <col min="5125" max="5125" width="27.85546875" style="249" customWidth="1"/>
    <col min="5126" max="5126" width="16" style="249" customWidth="1"/>
    <col min="5127" max="5127" width="15.28515625" style="249" customWidth="1"/>
    <col min="5128" max="5128" width="12.140625" style="249" customWidth="1"/>
    <col min="5129" max="5129" width="11.5703125" style="249" customWidth="1"/>
    <col min="5130" max="5130" width="8.7109375" style="249" customWidth="1"/>
    <col min="5131" max="5131" width="11.5703125" style="249" customWidth="1"/>
    <col min="5132" max="5132" width="12.28515625" style="249" customWidth="1"/>
    <col min="5133" max="5376" width="9.140625" style="249"/>
    <col min="5377" max="5377" width="23" style="249" customWidth="1"/>
    <col min="5378" max="5378" width="28.42578125" style="249" customWidth="1"/>
    <col min="5379" max="5379" width="20.42578125" style="249" customWidth="1"/>
    <col min="5380" max="5380" width="27.42578125" style="249" customWidth="1"/>
    <col min="5381" max="5381" width="27.85546875" style="249" customWidth="1"/>
    <col min="5382" max="5382" width="16" style="249" customWidth="1"/>
    <col min="5383" max="5383" width="15.28515625" style="249" customWidth="1"/>
    <col min="5384" max="5384" width="12.140625" style="249" customWidth="1"/>
    <col min="5385" max="5385" width="11.5703125" style="249" customWidth="1"/>
    <col min="5386" max="5386" width="8.7109375" style="249" customWidth="1"/>
    <col min="5387" max="5387" width="11.5703125" style="249" customWidth="1"/>
    <col min="5388" max="5388" width="12.28515625" style="249" customWidth="1"/>
    <col min="5389" max="5632" width="9.140625" style="249"/>
    <col min="5633" max="5633" width="23" style="249" customWidth="1"/>
    <col min="5634" max="5634" width="28.42578125" style="249" customWidth="1"/>
    <col min="5635" max="5635" width="20.42578125" style="249" customWidth="1"/>
    <col min="5636" max="5636" width="27.42578125" style="249" customWidth="1"/>
    <col min="5637" max="5637" width="27.85546875" style="249" customWidth="1"/>
    <col min="5638" max="5638" width="16" style="249" customWidth="1"/>
    <col min="5639" max="5639" width="15.28515625" style="249" customWidth="1"/>
    <col min="5640" max="5640" width="12.140625" style="249" customWidth="1"/>
    <col min="5641" max="5641" width="11.5703125" style="249" customWidth="1"/>
    <col min="5642" max="5642" width="8.7109375" style="249" customWidth="1"/>
    <col min="5643" max="5643" width="11.5703125" style="249" customWidth="1"/>
    <col min="5644" max="5644" width="12.28515625" style="249" customWidth="1"/>
    <col min="5645" max="5888" width="9.140625" style="249"/>
    <col min="5889" max="5889" width="23" style="249" customWidth="1"/>
    <col min="5890" max="5890" width="28.42578125" style="249" customWidth="1"/>
    <col min="5891" max="5891" width="20.42578125" style="249" customWidth="1"/>
    <col min="5892" max="5892" width="27.42578125" style="249" customWidth="1"/>
    <col min="5893" max="5893" width="27.85546875" style="249" customWidth="1"/>
    <col min="5894" max="5894" width="16" style="249" customWidth="1"/>
    <col min="5895" max="5895" width="15.28515625" style="249" customWidth="1"/>
    <col min="5896" max="5896" width="12.140625" style="249" customWidth="1"/>
    <col min="5897" max="5897" width="11.5703125" style="249" customWidth="1"/>
    <col min="5898" max="5898" width="8.7109375" style="249" customWidth="1"/>
    <col min="5899" max="5899" width="11.5703125" style="249" customWidth="1"/>
    <col min="5900" max="5900" width="12.28515625" style="249" customWidth="1"/>
    <col min="5901" max="6144" width="9.140625" style="249"/>
    <col min="6145" max="6145" width="23" style="249" customWidth="1"/>
    <col min="6146" max="6146" width="28.42578125" style="249" customWidth="1"/>
    <col min="6147" max="6147" width="20.42578125" style="249" customWidth="1"/>
    <col min="6148" max="6148" width="27.42578125" style="249" customWidth="1"/>
    <col min="6149" max="6149" width="27.85546875" style="249" customWidth="1"/>
    <col min="6150" max="6150" width="16" style="249" customWidth="1"/>
    <col min="6151" max="6151" width="15.28515625" style="249" customWidth="1"/>
    <col min="6152" max="6152" width="12.140625" style="249" customWidth="1"/>
    <col min="6153" max="6153" width="11.5703125" style="249" customWidth="1"/>
    <col min="6154" max="6154" width="8.7109375" style="249" customWidth="1"/>
    <col min="6155" max="6155" width="11.5703125" style="249" customWidth="1"/>
    <col min="6156" max="6156" width="12.28515625" style="249" customWidth="1"/>
    <col min="6157" max="6400" width="9.140625" style="249"/>
    <col min="6401" max="6401" width="23" style="249" customWidth="1"/>
    <col min="6402" max="6402" width="28.42578125" style="249" customWidth="1"/>
    <col min="6403" max="6403" width="20.42578125" style="249" customWidth="1"/>
    <col min="6404" max="6404" width="27.42578125" style="249" customWidth="1"/>
    <col min="6405" max="6405" width="27.85546875" style="249" customWidth="1"/>
    <col min="6406" max="6406" width="16" style="249" customWidth="1"/>
    <col min="6407" max="6407" width="15.28515625" style="249" customWidth="1"/>
    <col min="6408" max="6408" width="12.140625" style="249" customWidth="1"/>
    <col min="6409" max="6409" width="11.5703125" style="249" customWidth="1"/>
    <col min="6410" max="6410" width="8.7109375" style="249" customWidth="1"/>
    <col min="6411" max="6411" width="11.5703125" style="249" customWidth="1"/>
    <col min="6412" max="6412" width="12.28515625" style="249" customWidth="1"/>
    <col min="6413" max="6656" width="9.140625" style="249"/>
    <col min="6657" max="6657" width="23" style="249" customWidth="1"/>
    <col min="6658" max="6658" width="28.42578125" style="249" customWidth="1"/>
    <col min="6659" max="6659" width="20.42578125" style="249" customWidth="1"/>
    <col min="6660" max="6660" width="27.42578125" style="249" customWidth="1"/>
    <col min="6661" max="6661" width="27.85546875" style="249" customWidth="1"/>
    <col min="6662" max="6662" width="16" style="249" customWidth="1"/>
    <col min="6663" max="6663" width="15.28515625" style="249" customWidth="1"/>
    <col min="6664" max="6664" width="12.140625" style="249" customWidth="1"/>
    <col min="6665" max="6665" width="11.5703125" style="249" customWidth="1"/>
    <col min="6666" max="6666" width="8.7109375" style="249" customWidth="1"/>
    <col min="6667" max="6667" width="11.5703125" style="249" customWidth="1"/>
    <col min="6668" max="6668" width="12.28515625" style="249" customWidth="1"/>
    <col min="6669" max="6912" width="9.140625" style="249"/>
    <col min="6913" max="6913" width="23" style="249" customWidth="1"/>
    <col min="6914" max="6914" width="28.42578125" style="249" customWidth="1"/>
    <col min="6915" max="6915" width="20.42578125" style="249" customWidth="1"/>
    <col min="6916" max="6916" width="27.42578125" style="249" customWidth="1"/>
    <col min="6917" max="6917" width="27.85546875" style="249" customWidth="1"/>
    <col min="6918" max="6918" width="16" style="249" customWidth="1"/>
    <col min="6919" max="6919" width="15.28515625" style="249" customWidth="1"/>
    <col min="6920" max="6920" width="12.140625" style="249" customWidth="1"/>
    <col min="6921" max="6921" width="11.5703125" style="249" customWidth="1"/>
    <col min="6922" max="6922" width="8.7109375" style="249" customWidth="1"/>
    <col min="6923" max="6923" width="11.5703125" style="249" customWidth="1"/>
    <col min="6924" max="6924" width="12.28515625" style="249" customWidth="1"/>
    <col min="6925" max="7168" width="9.140625" style="249"/>
    <col min="7169" max="7169" width="23" style="249" customWidth="1"/>
    <col min="7170" max="7170" width="28.42578125" style="249" customWidth="1"/>
    <col min="7171" max="7171" width="20.42578125" style="249" customWidth="1"/>
    <col min="7172" max="7172" width="27.42578125" style="249" customWidth="1"/>
    <col min="7173" max="7173" width="27.85546875" style="249" customWidth="1"/>
    <col min="7174" max="7174" width="16" style="249" customWidth="1"/>
    <col min="7175" max="7175" width="15.28515625" style="249" customWidth="1"/>
    <col min="7176" max="7176" width="12.140625" style="249" customWidth="1"/>
    <col min="7177" max="7177" width="11.5703125" style="249" customWidth="1"/>
    <col min="7178" max="7178" width="8.7109375" style="249" customWidth="1"/>
    <col min="7179" max="7179" width="11.5703125" style="249" customWidth="1"/>
    <col min="7180" max="7180" width="12.28515625" style="249" customWidth="1"/>
    <col min="7181" max="7424" width="9.140625" style="249"/>
    <col min="7425" max="7425" width="23" style="249" customWidth="1"/>
    <col min="7426" max="7426" width="28.42578125" style="249" customWidth="1"/>
    <col min="7427" max="7427" width="20.42578125" style="249" customWidth="1"/>
    <col min="7428" max="7428" width="27.42578125" style="249" customWidth="1"/>
    <col min="7429" max="7429" width="27.85546875" style="249" customWidth="1"/>
    <col min="7430" max="7430" width="16" style="249" customWidth="1"/>
    <col min="7431" max="7431" width="15.28515625" style="249" customWidth="1"/>
    <col min="7432" max="7432" width="12.140625" style="249" customWidth="1"/>
    <col min="7433" max="7433" width="11.5703125" style="249" customWidth="1"/>
    <col min="7434" max="7434" width="8.7109375" style="249" customWidth="1"/>
    <col min="7435" max="7435" width="11.5703125" style="249" customWidth="1"/>
    <col min="7436" max="7436" width="12.28515625" style="249" customWidth="1"/>
    <col min="7437" max="7680" width="9.140625" style="249"/>
    <col min="7681" max="7681" width="23" style="249" customWidth="1"/>
    <col min="7682" max="7682" width="28.42578125" style="249" customWidth="1"/>
    <col min="7683" max="7683" width="20.42578125" style="249" customWidth="1"/>
    <col min="7684" max="7684" width="27.42578125" style="249" customWidth="1"/>
    <col min="7685" max="7685" width="27.85546875" style="249" customWidth="1"/>
    <col min="7686" max="7686" width="16" style="249" customWidth="1"/>
    <col min="7687" max="7687" width="15.28515625" style="249" customWidth="1"/>
    <col min="7688" max="7688" width="12.140625" style="249" customWidth="1"/>
    <col min="7689" max="7689" width="11.5703125" style="249" customWidth="1"/>
    <col min="7690" max="7690" width="8.7109375" style="249" customWidth="1"/>
    <col min="7691" max="7691" width="11.5703125" style="249" customWidth="1"/>
    <col min="7692" max="7692" width="12.28515625" style="249" customWidth="1"/>
    <col min="7693" max="7936" width="9.140625" style="249"/>
    <col min="7937" max="7937" width="23" style="249" customWidth="1"/>
    <col min="7938" max="7938" width="28.42578125" style="249" customWidth="1"/>
    <col min="7939" max="7939" width="20.42578125" style="249" customWidth="1"/>
    <col min="7940" max="7940" width="27.42578125" style="249" customWidth="1"/>
    <col min="7941" max="7941" width="27.85546875" style="249" customWidth="1"/>
    <col min="7942" max="7942" width="16" style="249" customWidth="1"/>
    <col min="7943" max="7943" width="15.28515625" style="249" customWidth="1"/>
    <col min="7944" max="7944" width="12.140625" style="249" customWidth="1"/>
    <col min="7945" max="7945" width="11.5703125" style="249" customWidth="1"/>
    <col min="7946" max="7946" width="8.7109375" style="249" customWidth="1"/>
    <col min="7947" max="7947" width="11.5703125" style="249" customWidth="1"/>
    <col min="7948" max="7948" width="12.28515625" style="249" customWidth="1"/>
    <col min="7949" max="8192" width="9.140625" style="249"/>
    <col min="8193" max="8193" width="23" style="249" customWidth="1"/>
    <col min="8194" max="8194" width="28.42578125" style="249" customWidth="1"/>
    <col min="8195" max="8195" width="20.42578125" style="249" customWidth="1"/>
    <col min="8196" max="8196" width="27.42578125" style="249" customWidth="1"/>
    <col min="8197" max="8197" width="27.85546875" style="249" customWidth="1"/>
    <col min="8198" max="8198" width="16" style="249" customWidth="1"/>
    <col min="8199" max="8199" width="15.28515625" style="249" customWidth="1"/>
    <col min="8200" max="8200" width="12.140625" style="249" customWidth="1"/>
    <col min="8201" max="8201" width="11.5703125" style="249" customWidth="1"/>
    <col min="8202" max="8202" width="8.7109375" style="249" customWidth="1"/>
    <col min="8203" max="8203" width="11.5703125" style="249" customWidth="1"/>
    <col min="8204" max="8204" width="12.28515625" style="249" customWidth="1"/>
    <col min="8205" max="8448" width="9.140625" style="249"/>
    <col min="8449" max="8449" width="23" style="249" customWidth="1"/>
    <col min="8450" max="8450" width="28.42578125" style="249" customWidth="1"/>
    <col min="8451" max="8451" width="20.42578125" style="249" customWidth="1"/>
    <col min="8452" max="8452" width="27.42578125" style="249" customWidth="1"/>
    <col min="8453" max="8453" width="27.85546875" style="249" customWidth="1"/>
    <col min="8454" max="8454" width="16" style="249" customWidth="1"/>
    <col min="8455" max="8455" width="15.28515625" style="249" customWidth="1"/>
    <col min="8456" max="8456" width="12.140625" style="249" customWidth="1"/>
    <col min="8457" max="8457" width="11.5703125" style="249" customWidth="1"/>
    <col min="8458" max="8458" width="8.7109375" style="249" customWidth="1"/>
    <col min="8459" max="8459" width="11.5703125" style="249" customWidth="1"/>
    <col min="8460" max="8460" width="12.28515625" style="249" customWidth="1"/>
    <col min="8461" max="8704" width="9.140625" style="249"/>
    <col min="8705" max="8705" width="23" style="249" customWidth="1"/>
    <col min="8706" max="8706" width="28.42578125" style="249" customWidth="1"/>
    <col min="8707" max="8707" width="20.42578125" style="249" customWidth="1"/>
    <col min="8708" max="8708" width="27.42578125" style="249" customWidth="1"/>
    <col min="8709" max="8709" width="27.85546875" style="249" customWidth="1"/>
    <col min="8710" max="8710" width="16" style="249" customWidth="1"/>
    <col min="8711" max="8711" width="15.28515625" style="249" customWidth="1"/>
    <col min="8712" max="8712" width="12.140625" style="249" customWidth="1"/>
    <col min="8713" max="8713" width="11.5703125" style="249" customWidth="1"/>
    <col min="8714" max="8714" width="8.7109375" style="249" customWidth="1"/>
    <col min="8715" max="8715" width="11.5703125" style="249" customWidth="1"/>
    <col min="8716" max="8716" width="12.28515625" style="249" customWidth="1"/>
    <col min="8717" max="8960" width="9.140625" style="249"/>
    <col min="8961" max="8961" width="23" style="249" customWidth="1"/>
    <col min="8962" max="8962" width="28.42578125" style="249" customWidth="1"/>
    <col min="8963" max="8963" width="20.42578125" style="249" customWidth="1"/>
    <col min="8964" max="8964" width="27.42578125" style="249" customWidth="1"/>
    <col min="8965" max="8965" width="27.85546875" style="249" customWidth="1"/>
    <col min="8966" max="8966" width="16" style="249" customWidth="1"/>
    <col min="8967" max="8967" width="15.28515625" style="249" customWidth="1"/>
    <col min="8968" max="8968" width="12.140625" style="249" customWidth="1"/>
    <col min="8969" max="8969" width="11.5703125" style="249" customWidth="1"/>
    <col min="8970" max="8970" width="8.7109375" style="249" customWidth="1"/>
    <col min="8971" max="8971" width="11.5703125" style="249" customWidth="1"/>
    <col min="8972" max="8972" width="12.28515625" style="249" customWidth="1"/>
    <col min="8973" max="9216" width="9.140625" style="249"/>
    <col min="9217" max="9217" width="23" style="249" customWidth="1"/>
    <col min="9218" max="9218" width="28.42578125" style="249" customWidth="1"/>
    <col min="9219" max="9219" width="20.42578125" style="249" customWidth="1"/>
    <col min="9220" max="9220" width="27.42578125" style="249" customWidth="1"/>
    <col min="9221" max="9221" width="27.85546875" style="249" customWidth="1"/>
    <col min="9222" max="9222" width="16" style="249" customWidth="1"/>
    <col min="9223" max="9223" width="15.28515625" style="249" customWidth="1"/>
    <col min="9224" max="9224" width="12.140625" style="249" customWidth="1"/>
    <col min="9225" max="9225" width="11.5703125" style="249" customWidth="1"/>
    <col min="9226" max="9226" width="8.7109375" style="249" customWidth="1"/>
    <col min="9227" max="9227" width="11.5703125" style="249" customWidth="1"/>
    <col min="9228" max="9228" width="12.28515625" style="249" customWidth="1"/>
    <col min="9229" max="9472" width="9.140625" style="249"/>
    <col min="9473" max="9473" width="23" style="249" customWidth="1"/>
    <col min="9474" max="9474" width="28.42578125" style="249" customWidth="1"/>
    <col min="9475" max="9475" width="20.42578125" style="249" customWidth="1"/>
    <col min="9476" max="9476" width="27.42578125" style="249" customWidth="1"/>
    <col min="9477" max="9477" width="27.85546875" style="249" customWidth="1"/>
    <col min="9478" max="9478" width="16" style="249" customWidth="1"/>
    <col min="9479" max="9479" width="15.28515625" style="249" customWidth="1"/>
    <col min="9480" max="9480" width="12.140625" style="249" customWidth="1"/>
    <col min="9481" max="9481" width="11.5703125" style="249" customWidth="1"/>
    <col min="9482" max="9482" width="8.7109375" style="249" customWidth="1"/>
    <col min="9483" max="9483" width="11.5703125" style="249" customWidth="1"/>
    <col min="9484" max="9484" width="12.28515625" style="249" customWidth="1"/>
    <col min="9485" max="9728" width="9.140625" style="249"/>
    <col min="9729" max="9729" width="23" style="249" customWidth="1"/>
    <col min="9730" max="9730" width="28.42578125" style="249" customWidth="1"/>
    <col min="9731" max="9731" width="20.42578125" style="249" customWidth="1"/>
    <col min="9732" max="9732" width="27.42578125" style="249" customWidth="1"/>
    <col min="9733" max="9733" width="27.85546875" style="249" customWidth="1"/>
    <col min="9734" max="9734" width="16" style="249" customWidth="1"/>
    <col min="9735" max="9735" width="15.28515625" style="249" customWidth="1"/>
    <col min="9736" max="9736" width="12.140625" style="249" customWidth="1"/>
    <col min="9737" max="9737" width="11.5703125" style="249" customWidth="1"/>
    <col min="9738" max="9738" width="8.7109375" style="249" customWidth="1"/>
    <col min="9739" max="9739" width="11.5703125" style="249" customWidth="1"/>
    <col min="9740" max="9740" width="12.28515625" style="249" customWidth="1"/>
    <col min="9741" max="9984" width="9.140625" style="249"/>
    <col min="9985" max="9985" width="23" style="249" customWidth="1"/>
    <col min="9986" max="9986" width="28.42578125" style="249" customWidth="1"/>
    <col min="9987" max="9987" width="20.42578125" style="249" customWidth="1"/>
    <col min="9988" max="9988" width="27.42578125" style="249" customWidth="1"/>
    <col min="9989" max="9989" width="27.85546875" style="249" customWidth="1"/>
    <col min="9990" max="9990" width="16" style="249" customWidth="1"/>
    <col min="9991" max="9991" width="15.28515625" style="249" customWidth="1"/>
    <col min="9992" max="9992" width="12.140625" style="249" customWidth="1"/>
    <col min="9993" max="9993" width="11.5703125" style="249" customWidth="1"/>
    <col min="9994" max="9994" width="8.7109375" style="249" customWidth="1"/>
    <col min="9995" max="9995" width="11.5703125" style="249" customWidth="1"/>
    <col min="9996" max="9996" width="12.28515625" style="249" customWidth="1"/>
    <col min="9997" max="10240" width="9.140625" style="249"/>
    <col min="10241" max="10241" width="23" style="249" customWidth="1"/>
    <col min="10242" max="10242" width="28.42578125" style="249" customWidth="1"/>
    <col min="10243" max="10243" width="20.42578125" style="249" customWidth="1"/>
    <col min="10244" max="10244" width="27.42578125" style="249" customWidth="1"/>
    <col min="10245" max="10245" width="27.85546875" style="249" customWidth="1"/>
    <col min="10246" max="10246" width="16" style="249" customWidth="1"/>
    <col min="10247" max="10247" width="15.28515625" style="249" customWidth="1"/>
    <col min="10248" max="10248" width="12.140625" style="249" customWidth="1"/>
    <col min="10249" max="10249" width="11.5703125" style="249" customWidth="1"/>
    <col min="10250" max="10250" width="8.7109375" style="249" customWidth="1"/>
    <col min="10251" max="10251" width="11.5703125" style="249" customWidth="1"/>
    <col min="10252" max="10252" width="12.28515625" style="249" customWidth="1"/>
    <col min="10253" max="10496" width="9.140625" style="249"/>
    <col min="10497" max="10497" width="23" style="249" customWidth="1"/>
    <col min="10498" max="10498" width="28.42578125" style="249" customWidth="1"/>
    <col min="10499" max="10499" width="20.42578125" style="249" customWidth="1"/>
    <col min="10500" max="10500" width="27.42578125" style="249" customWidth="1"/>
    <col min="10501" max="10501" width="27.85546875" style="249" customWidth="1"/>
    <col min="10502" max="10502" width="16" style="249" customWidth="1"/>
    <col min="10503" max="10503" width="15.28515625" style="249" customWidth="1"/>
    <col min="10504" max="10504" width="12.140625" style="249" customWidth="1"/>
    <col min="10505" max="10505" width="11.5703125" style="249" customWidth="1"/>
    <col min="10506" max="10506" width="8.7109375" style="249" customWidth="1"/>
    <col min="10507" max="10507" width="11.5703125" style="249" customWidth="1"/>
    <col min="10508" max="10508" width="12.28515625" style="249" customWidth="1"/>
    <col min="10509" max="10752" width="9.140625" style="249"/>
    <col min="10753" max="10753" width="23" style="249" customWidth="1"/>
    <col min="10754" max="10754" width="28.42578125" style="249" customWidth="1"/>
    <col min="10755" max="10755" width="20.42578125" style="249" customWidth="1"/>
    <col min="10756" max="10756" width="27.42578125" style="249" customWidth="1"/>
    <col min="10757" max="10757" width="27.85546875" style="249" customWidth="1"/>
    <col min="10758" max="10758" width="16" style="249" customWidth="1"/>
    <col min="10759" max="10759" width="15.28515625" style="249" customWidth="1"/>
    <col min="10760" max="10760" width="12.140625" style="249" customWidth="1"/>
    <col min="10761" max="10761" width="11.5703125" style="249" customWidth="1"/>
    <col min="10762" max="10762" width="8.7109375" style="249" customWidth="1"/>
    <col min="10763" max="10763" width="11.5703125" style="249" customWidth="1"/>
    <col min="10764" max="10764" width="12.28515625" style="249" customWidth="1"/>
    <col min="10765" max="11008" width="9.140625" style="249"/>
    <col min="11009" max="11009" width="23" style="249" customWidth="1"/>
    <col min="11010" max="11010" width="28.42578125" style="249" customWidth="1"/>
    <col min="11011" max="11011" width="20.42578125" style="249" customWidth="1"/>
    <col min="11012" max="11012" width="27.42578125" style="249" customWidth="1"/>
    <col min="11013" max="11013" width="27.85546875" style="249" customWidth="1"/>
    <col min="11014" max="11014" width="16" style="249" customWidth="1"/>
    <col min="11015" max="11015" width="15.28515625" style="249" customWidth="1"/>
    <col min="11016" max="11016" width="12.140625" style="249" customWidth="1"/>
    <col min="11017" max="11017" width="11.5703125" style="249" customWidth="1"/>
    <col min="11018" max="11018" width="8.7109375" style="249" customWidth="1"/>
    <col min="11019" max="11019" width="11.5703125" style="249" customWidth="1"/>
    <col min="11020" max="11020" width="12.28515625" style="249" customWidth="1"/>
    <col min="11021" max="11264" width="9.140625" style="249"/>
    <col min="11265" max="11265" width="23" style="249" customWidth="1"/>
    <col min="11266" max="11266" width="28.42578125" style="249" customWidth="1"/>
    <col min="11267" max="11267" width="20.42578125" style="249" customWidth="1"/>
    <col min="11268" max="11268" width="27.42578125" style="249" customWidth="1"/>
    <col min="11269" max="11269" width="27.85546875" style="249" customWidth="1"/>
    <col min="11270" max="11270" width="16" style="249" customWidth="1"/>
    <col min="11271" max="11271" width="15.28515625" style="249" customWidth="1"/>
    <col min="11272" max="11272" width="12.140625" style="249" customWidth="1"/>
    <col min="11273" max="11273" width="11.5703125" style="249" customWidth="1"/>
    <col min="11274" max="11274" width="8.7109375" style="249" customWidth="1"/>
    <col min="11275" max="11275" width="11.5703125" style="249" customWidth="1"/>
    <col min="11276" max="11276" width="12.28515625" style="249" customWidth="1"/>
    <col min="11277" max="11520" width="9.140625" style="249"/>
    <col min="11521" max="11521" width="23" style="249" customWidth="1"/>
    <col min="11522" max="11522" width="28.42578125" style="249" customWidth="1"/>
    <col min="11523" max="11523" width="20.42578125" style="249" customWidth="1"/>
    <col min="11524" max="11524" width="27.42578125" style="249" customWidth="1"/>
    <col min="11525" max="11525" width="27.85546875" style="249" customWidth="1"/>
    <col min="11526" max="11526" width="16" style="249" customWidth="1"/>
    <col min="11527" max="11527" width="15.28515625" style="249" customWidth="1"/>
    <col min="11528" max="11528" width="12.140625" style="249" customWidth="1"/>
    <col min="11529" max="11529" width="11.5703125" style="249" customWidth="1"/>
    <col min="11530" max="11530" width="8.7109375" style="249" customWidth="1"/>
    <col min="11531" max="11531" width="11.5703125" style="249" customWidth="1"/>
    <col min="11532" max="11532" width="12.28515625" style="249" customWidth="1"/>
    <col min="11533" max="11776" width="9.140625" style="249"/>
    <col min="11777" max="11777" width="23" style="249" customWidth="1"/>
    <col min="11778" max="11778" width="28.42578125" style="249" customWidth="1"/>
    <col min="11779" max="11779" width="20.42578125" style="249" customWidth="1"/>
    <col min="11780" max="11780" width="27.42578125" style="249" customWidth="1"/>
    <col min="11781" max="11781" width="27.85546875" style="249" customWidth="1"/>
    <col min="11782" max="11782" width="16" style="249" customWidth="1"/>
    <col min="11783" max="11783" width="15.28515625" style="249" customWidth="1"/>
    <col min="11784" max="11784" width="12.140625" style="249" customWidth="1"/>
    <col min="11785" max="11785" width="11.5703125" style="249" customWidth="1"/>
    <col min="11786" max="11786" width="8.7109375" style="249" customWidth="1"/>
    <col min="11787" max="11787" width="11.5703125" style="249" customWidth="1"/>
    <col min="11788" max="11788" width="12.28515625" style="249" customWidth="1"/>
    <col min="11789" max="12032" width="9.140625" style="249"/>
    <col min="12033" max="12033" width="23" style="249" customWidth="1"/>
    <col min="12034" max="12034" width="28.42578125" style="249" customWidth="1"/>
    <col min="12035" max="12035" width="20.42578125" style="249" customWidth="1"/>
    <col min="12036" max="12036" width="27.42578125" style="249" customWidth="1"/>
    <col min="12037" max="12037" width="27.85546875" style="249" customWidth="1"/>
    <col min="12038" max="12038" width="16" style="249" customWidth="1"/>
    <col min="12039" max="12039" width="15.28515625" style="249" customWidth="1"/>
    <col min="12040" max="12040" width="12.140625" style="249" customWidth="1"/>
    <col min="12041" max="12041" width="11.5703125" style="249" customWidth="1"/>
    <col min="12042" max="12042" width="8.7109375" style="249" customWidth="1"/>
    <col min="12043" max="12043" width="11.5703125" style="249" customWidth="1"/>
    <col min="12044" max="12044" width="12.28515625" style="249" customWidth="1"/>
    <col min="12045" max="12288" width="9.140625" style="249"/>
    <col min="12289" max="12289" width="23" style="249" customWidth="1"/>
    <col min="12290" max="12290" width="28.42578125" style="249" customWidth="1"/>
    <col min="12291" max="12291" width="20.42578125" style="249" customWidth="1"/>
    <col min="12292" max="12292" width="27.42578125" style="249" customWidth="1"/>
    <col min="12293" max="12293" width="27.85546875" style="249" customWidth="1"/>
    <col min="12294" max="12294" width="16" style="249" customWidth="1"/>
    <col min="12295" max="12295" width="15.28515625" style="249" customWidth="1"/>
    <col min="12296" max="12296" width="12.140625" style="249" customWidth="1"/>
    <col min="12297" max="12297" width="11.5703125" style="249" customWidth="1"/>
    <col min="12298" max="12298" width="8.7109375" style="249" customWidth="1"/>
    <col min="12299" max="12299" width="11.5703125" style="249" customWidth="1"/>
    <col min="12300" max="12300" width="12.28515625" style="249" customWidth="1"/>
    <col min="12301" max="12544" width="9.140625" style="249"/>
    <col min="12545" max="12545" width="23" style="249" customWidth="1"/>
    <col min="12546" max="12546" width="28.42578125" style="249" customWidth="1"/>
    <col min="12547" max="12547" width="20.42578125" style="249" customWidth="1"/>
    <col min="12548" max="12548" width="27.42578125" style="249" customWidth="1"/>
    <col min="12549" max="12549" width="27.85546875" style="249" customWidth="1"/>
    <col min="12550" max="12550" width="16" style="249" customWidth="1"/>
    <col min="12551" max="12551" width="15.28515625" style="249" customWidth="1"/>
    <col min="12552" max="12552" width="12.140625" style="249" customWidth="1"/>
    <col min="12553" max="12553" width="11.5703125" style="249" customWidth="1"/>
    <col min="12554" max="12554" width="8.7109375" style="249" customWidth="1"/>
    <col min="12555" max="12555" width="11.5703125" style="249" customWidth="1"/>
    <col min="12556" max="12556" width="12.28515625" style="249" customWidth="1"/>
    <col min="12557" max="12800" width="9.140625" style="249"/>
    <col min="12801" max="12801" width="23" style="249" customWidth="1"/>
    <col min="12802" max="12802" width="28.42578125" style="249" customWidth="1"/>
    <col min="12803" max="12803" width="20.42578125" style="249" customWidth="1"/>
    <col min="12804" max="12804" width="27.42578125" style="249" customWidth="1"/>
    <col min="12805" max="12805" width="27.85546875" style="249" customWidth="1"/>
    <col min="12806" max="12806" width="16" style="249" customWidth="1"/>
    <col min="12807" max="12807" width="15.28515625" style="249" customWidth="1"/>
    <col min="12808" max="12808" width="12.140625" style="249" customWidth="1"/>
    <col min="12809" max="12809" width="11.5703125" style="249" customWidth="1"/>
    <col min="12810" max="12810" width="8.7109375" style="249" customWidth="1"/>
    <col min="12811" max="12811" width="11.5703125" style="249" customWidth="1"/>
    <col min="12812" max="12812" width="12.28515625" style="249" customWidth="1"/>
    <col min="12813" max="13056" width="9.140625" style="249"/>
    <col min="13057" max="13057" width="23" style="249" customWidth="1"/>
    <col min="13058" max="13058" width="28.42578125" style="249" customWidth="1"/>
    <col min="13059" max="13059" width="20.42578125" style="249" customWidth="1"/>
    <col min="13060" max="13060" width="27.42578125" style="249" customWidth="1"/>
    <col min="13061" max="13061" width="27.85546875" style="249" customWidth="1"/>
    <col min="13062" max="13062" width="16" style="249" customWidth="1"/>
    <col min="13063" max="13063" width="15.28515625" style="249" customWidth="1"/>
    <col min="13064" max="13064" width="12.140625" style="249" customWidth="1"/>
    <col min="13065" max="13065" width="11.5703125" style="249" customWidth="1"/>
    <col min="13066" max="13066" width="8.7109375" style="249" customWidth="1"/>
    <col min="13067" max="13067" width="11.5703125" style="249" customWidth="1"/>
    <col min="13068" max="13068" width="12.28515625" style="249" customWidth="1"/>
    <col min="13069" max="13312" width="9.140625" style="249"/>
    <col min="13313" max="13313" width="23" style="249" customWidth="1"/>
    <col min="13314" max="13314" width="28.42578125" style="249" customWidth="1"/>
    <col min="13315" max="13315" width="20.42578125" style="249" customWidth="1"/>
    <col min="13316" max="13316" width="27.42578125" style="249" customWidth="1"/>
    <col min="13317" max="13317" width="27.85546875" style="249" customWidth="1"/>
    <col min="13318" max="13318" width="16" style="249" customWidth="1"/>
    <col min="13319" max="13319" width="15.28515625" style="249" customWidth="1"/>
    <col min="13320" max="13320" width="12.140625" style="249" customWidth="1"/>
    <col min="13321" max="13321" width="11.5703125" style="249" customWidth="1"/>
    <col min="13322" max="13322" width="8.7109375" style="249" customWidth="1"/>
    <col min="13323" max="13323" width="11.5703125" style="249" customWidth="1"/>
    <col min="13324" max="13324" width="12.28515625" style="249" customWidth="1"/>
    <col min="13325" max="13568" width="9.140625" style="249"/>
    <col min="13569" max="13569" width="23" style="249" customWidth="1"/>
    <col min="13570" max="13570" width="28.42578125" style="249" customWidth="1"/>
    <col min="13571" max="13571" width="20.42578125" style="249" customWidth="1"/>
    <col min="13572" max="13572" width="27.42578125" style="249" customWidth="1"/>
    <col min="13573" max="13573" width="27.85546875" style="249" customWidth="1"/>
    <col min="13574" max="13574" width="16" style="249" customWidth="1"/>
    <col min="13575" max="13575" width="15.28515625" style="249" customWidth="1"/>
    <col min="13576" max="13576" width="12.140625" style="249" customWidth="1"/>
    <col min="13577" max="13577" width="11.5703125" style="249" customWidth="1"/>
    <col min="13578" max="13578" width="8.7109375" style="249" customWidth="1"/>
    <col min="13579" max="13579" width="11.5703125" style="249" customWidth="1"/>
    <col min="13580" max="13580" width="12.28515625" style="249" customWidth="1"/>
    <col min="13581" max="13824" width="9.140625" style="249"/>
    <col min="13825" max="13825" width="23" style="249" customWidth="1"/>
    <col min="13826" max="13826" width="28.42578125" style="249" customWidth="1"/>
    <col min="13827" max="13827" width="20.42578125" style="249" customWidth="1"/>
    <col min="13828" max="13828" width="27.42578125" style="249" customWidth="1"/>
    <col min="13829" max="13829" width="27.85546875" style="249" customWidth="1"/>
    <col min="13830" max="13830" width="16" style="249" customWidth="1"/>
    <col min="13831" max="13831" width="15.28515625" style="249" customWidth="1"/>
    <col min="13832" max="13832" width="12.140625" style="249" customWidth="1"/>
    <col min="13833" max="13833" width="11.5703125" style="249" customWidth="1"/>
    <col min="13834" max="13834" width="8.7109375" style="249" customWidth="1"/>
    <col min="13835" max="13835" width="11.5703125" style="249" customWidth="1"/>
    <col min="13836" max="13836" width="12.28515625" style="249" customWidth="1"/>
    <col min="13837" max="14080" width="9.140625" style="249"/>
    <col min="14081" max="14081" width="23" style="249" customWidth="1"/>
    <col min="14082" max="14082" width="28.42578125" style="249" customWidth="1"/>
    <col min="14083" max="14083" width="20.42578125" style="249" customWidth="1"/>
    <col min="14084" max="14084" width="27.42578125" style="249" customWidth="1"/>
    <col min="14085" max="14085" width="27.85546875" style="249" customWidth="1"/>
    <col min="14086" max="14086" width="16" style="249" customWidth="1"/>
    <col min="14087" max="14087" width="15.28515625" style="249" customWidth="1"/>
    <col min="14088" max="14088" width="12.140625" style="249" customWidth="1"/>
    <col min="14089" max="14089" width="11.5703125" style="249" customWidth="1"/>
    <col min="14090" max="14090" width="8.7109375" style="249" customWidth="1"/>
    <col min="14091" max="14091" width="11.5703125" style="249" customWidth="1"/>
    <col min="14092" max="14092" width="12.28515625" style="249" customWidth="1"/>
    <col min="14093" max="14336" width="9.140625" style="249"/>
    <col min="14337" max="14337" width="23" style="249" customWidth="1"/>
    <col min="14338" max="14338" width="28.42578125" style="249" customWidth="1"/>
    <col min="14339" max="14339" width="20.42578125" style="249" customWidth="1"/>
    <col min="14340" max="14340" width="27.42578125" style="249" customWidth="1"/>
    <col min="14341" max="14341" width="27.85546875" style="249" customWidth="1"/>
    <col min="14342" max="14342" width="16" style="249" customWidth="1"/>
    <col min="14343" max="14343" width="15.28515625" style="249" customWidth="1"/>
    <col min="14344" max="14344" width="12.140625" style="249" customWidth="1"/>
    <col min="14345" max="14345" width="11.5703125" style="249" customWidth="1"/>
    <col min="14346" max="14346" width="8.7109375" style="249" customWidth="1"/>
    <col min="14347" max="14347" width="11.5703125" style="249" customWidth="1"/>
    <col min="14348" max="14348" width="12.28515625" style="249" customWidth="1"/>
    <col min="14349" max="14592" width="9.140625" style="249"/>
    <col min="14593" max="14593" width="23" style="249" customWidth="1"/>
    <col min="14594" max="14594" width="28.42578125" style="249" customWidth="1"/>
    <col min="14595" max="14595" width="20.42578125" style="249" customWidth="1"/>
    <col min="14596" max="14596" width="27.42578125" style="249" customWidth="1"/>
    <col min="14597" max="14597" width="27.85546875" style="249" customWidth="1"/>
    <col min="14598" max="14598" width="16" style="249" customWidth="1"/>
    <col min="14599" max="14599" width="15.28515625" style="249" customWidth="1"/>
    <col min="14600" max="14600" width="12.140625" style="249" customWidth="1"/>
    <col min="14601" max="14601" width="11.5703125" style="249" customWidth="1"/>
    <col min="14602" max="14602" width="8.7109375" style="249" customWidth="1"/>
    <col min="14603" max="14603" width="11.5703125" style="249" customWidth="1"/>
    <col min="14604" max="14604" width="12.28515625" style="249" customWidth="1"/>
    <col min="14605" max="14848" width="9.140625" style="249"/>
    <col min="14849" max="14849" width="23" style="249" customWidth="1"/>
    <col min="14850" max="14850" width="28.42578125" style="249" customWidth="1"/>
    <col min="14851" max="14851" width="20.42578125" style="249" customWidth="1"/>
    <col min="14852" max="14852" width="27.42578125" style="249" customWidth="1"/>
    <col min="14853" max="14853" width="27.85546875" style="249" customWidth="1"/>
    <col min="14854" max="14854" width="16" style="249" customWidth="1"/>
    <col min="14855" max="14855" width="15.28515625" style="249" customWidth="1"/>
    <col min="14856" max="14856" width="12.140625" style="249" customWidth="1"/>
    <col min="14857" max="14857" width="11.5703125" style="249" customWidth="1"/>
    <col min="14858" max="14858" width="8.7109375" style="249" customWidth="1"/>
    <col min="14859" max="14859" width="11.5703125" style="249" customWidth="1"/>
    <col min="14860" max="14860" width="12.28515625" style="249" customWidth="1"/>
    <col min="14861" max="15104" width="9.140625" style="249"/>
    <col min="15105" max="15105" width="23" style="249" customWidth="1"/>
    <col min="15106" max="15106" width="28.42578125" style="249" customWidth="1"/>
    <col min="15107" max="15107" width="20.42578125" style="249" customWidth="1"/>
    <col min="15108" max="15108" width="27.42578125" style="249" customWidth="1"/>
    <col min="15109" max="15109" width="27.85546875" style="249" customWidth="1"/>
    <col min="15110" max="15110" width="16" style="249" customWidth="1"/>
    <col min="15111" max="15111" width="15.28515625" style="249" customWidth="1"/>
    <col min="15112" max="15112" width="12.140625" style="249" customWidth="1"/>
    <col min="15113" max="15113" width="11.5703125" style="249" customWidth="1"/>
    <col min="15114" max="15114" width="8.7109375" style="249" customWidth="1"/>
    <col min="15115" max="15115" width="11.5703125" style="249" customWidth="1"/>
    <col min="15116" max="15116" width="12.28515625" style="249" customWidth="1"/>
    <col min="15117" max="15360" width="9.140625" style="249"/>
    <col min="15361" max="15361" width="23" style="249" customWidth="1"/>
    <col min="15362" max="15362" width="28.42578125" style="249" customWidth="1"/>
    <col min="15363" max="15363" width="20.42578125" style="249" customWidth="1"/>
    <col min="15364" max="15364" width="27.42578125" style="249" customWidth="1"/>
    <col min="15365" max="15365" width="27.85546875" style="249" customWidth="1"/>
    <col min="15366" max="15366" width="16" style="249" customWidth="1"/>
    <col min="15367" max="15367" width="15.28515625" style="249" customWidth="1"/>
    <col min="15368" max="15368" width="12.140625" style="249" customWidth="1"/>
    <col min="15369" max="15369" width="11.5703125" style="249" customWidth="1"/>
    <col min="15370" max="15370" width="8.7109375" style="249" customWidth="1"/>
    <col min="15371" max="15371" width="11.5703125" style="249" customWidth="1"/>
    <col min="15372" max="15372" width="12.28515625" style="249" customWidth="1"/>
    <col min="15373" max="15616" width="9.140625" style="249"/>
    <col min="15617" max="15617" width="23" style="249" customWidth="1"/>
    <col min="15618" max="15618" width="28.42578125" style="249" customWidth="1"/>
    <col min="15619" max="15619" width="20.42578125" style="249" customWidth="1"/>
    <col min="15620" max="15620" width="27.42578125" style="249" customWidth="1"/>
    <col min="15621" max="15621" width="27.85546875" style="249" customWidth="1"/>
    <col min="15622" max="15622" width="16" style="249" customWidth="1"/>
    <col min="15623" max="15623" width="15.28515625" style="249" customWidth="1"/>
    <col min="15624" max="15624" width="12.140625" style="249" customWidth="1"/>
    <col min="15625" max="15625" width="11.5703125" style="249" customWidth="1"/>
    <col min="15626" max="15626" width="8.7109375" style="249" customWidth="1"/>
    <col min="15627" max="15627" width="11.5703125" style="249" customWidth="1"/>
    <col min="15628" max="15628" width="12.28515625" style="249" customWidth="1"/>
    <col min="15629" max="15872" width="9.140625" style="249"/>
    <col min="15873" max="15873" width="23" style="249" customWidth="1"/>
    <col min="15874" max="15874" width="28.42578125" style="249" customWidth="1"/>
    <col min="15875" max="15875" width="20.42578125" style="249" customWidth="1"/>
    <col min="15876" max="15876" width="27.42578125" style="249" customWidth="1"/>
    <col min="15877" max="15877" width="27.85546875" style="249" customWidth="1"/>
    <col min="15878" max="15878" width="16" style="249" customWidth="1"/>
    <col min="15879" max="15879" width="15.28515625" style="249" customWidth="1"/>
    <col min="15880" max="15880" width="12.140625" style="249" customWidth="1"/>
    <col min="15881" max="15881" width="11.5703125" style="249" customWidth="1"/>
    <col min="15882" max="15882" width="8.7109375" style="249" customWidth="1"/>
    <col min="15883" max="15883" width="11.5703125" style="249" customWidth="1"/>
    <col min="15884" max="15884" width="12.28515625" style="249" customWidth="1"/>
    <col min="15885" max="16128" width="9.140625" style="249"/>
    <col min="16129" max="16129" width="23" style="249" customWidth="1"/>
    <col min="16130" max="16130" width="28.42578125" style="249" customWidth="1"/>
    <col min="16131" max="16131" width="20.42578125" style="249" customWidth="1"/>
    <col min="16132" max="16132" width="27.42578125" style="249" customWidth="1"/>
    <col min="16133" max="16133" width="27.85546875" style="249" customWidth="1"/>
    <col min="16134" max="16134" width="16" style="249" customWidth="1"/>
    <col min="16135" max="16135" width="15.28515625" style="249" customWidth="1"/>
    <col min="16136" max="16136" width="12.140625" style="249" customWidth="1"/>
    <col min="16137" max="16137" width="11.5703125" style="249" customWidth="1"/>
    <col min="16138" max="16138" width="8.7109375" style="249" customWidth="1"/>
    <col min="16139" max="16139" width="11.5703125" style="249" customWidth="1"/>
    <col min="16140" max="16140" width="12.28515625" style="249" customWidth="1"/>
    <col min="16141" max="16384" width="9.140625" style="249"/>
  </cols>
  <sheetData>
    <row r="1" spans="1:5" s="243" customFormat="1" ht="20.100000000000001" customHeight="1">
      <c r="A1" s="631" t="s">
        <v>42</v>
      </c>
      <c r="B1" s="632"/>
      <c r="C1" s="635" t="s">
        <v>43</v>
      </c>
      <c r="D1" s="635"/>
      <c r="E1" s="299" t="s">
        <v>44</v>
      </c>
    </row>
    <row r="2" spans="1:5" s="243" customFormat="1" ht="20.100000000000001" customHeight="1">
      <c r="A2" s="633"/>
      <c r="B2" s="634"/>
      <c r="C2" s="636"/>
      <c r="D2" s="636"/>
      <c r="E2" s="300" t="s">
        <v>45</v>
      </c>
    </row>
    <row r="3" spans="1:5" s="243" customFormat="1" ht="20.100000000000001" customHeight="1">
      <c r="A3" s="633"/>
      <c r="B3" s="634"/>
      <c r="C3" s="636"/>
      <c r="D3" s="636"/>
      <c r="E3" s="300" t="s">
        <v>46</v>
      </c>
    </row>
    <row r="4" spans="1:5" s="245" customFormat="1" ht="24.95" customHeight="1">
      <c r="A4" s="301" t="s">
        <v>47</v>
      </c>
      <c r="B4" s="61" t="s">
        <v>437</v>
      </c>
      <c r="C4" s="62" t="s">
        <v>48</v>
      </c>
      <c r="D4" s="63" t="s">
        <v>447</v>
      </c>
      <c r="E4" s="610" t="s">
        <v>49</v>
      </c>
    </row>
    <row r="5" spans="1:5" s="245" customFormat="1" ht="24.95" customHeight="1">
      <c r="A5" s="302" t="s">
        <v>50</v>
      </c>
      <c r="B5" s="64">
        <v>252709140196</v>
      </c>
      <c r="C5" s="65" t="s">
        <v>51</v>
      </c>
      <c r="D5" s="66" t="s">
        <v>446</v>
      </c>
      <c r="E5" s="611"/>
    </row>
    <row r="6" spans="1:5" s="245" customFormat="1" ht="24.95" customHeight="1">
      <c r="A6" s="302" t="s">
        <v>52</v>
      </c>
      <c r="B6" s="64" t="s">
        <v>439</v>
      </c>
      <c r="C6" s="65" t="s">
        <v>53</v>
      </c>
      <c r="D6" s="246">
        <v>42010</v>
      </c>
      <c r="E6" s="611"/>
    </row>
    <row r="7" spans="1:5" s="245" customFormat="1" ht="24" customHeight="1">
      <c r="A7" s="303" t="s">
        <v>54</v>
      </c>
      <c r="B7" s="68" t="s">
        <v>55</v>
      </c>
      <c r="C7" s="67" t="s">
        <v>56</v>
      </c>
      <c r="D7" s="69" t="s">
        <v>55</v>
      </c>
      <c r="E7" s="612"/>
    </row>
    <row r="8" spans="1:5" s="245" customFormat="1" ht="29.25" customHeight="1">
      <c r="A8" s="304" t="s">
        <v>57</v>
      </c>
      <c r="B8" s="70" t="s">
        <v>58</v>
      </c>
      <c r="C8" s="70" t="s">
        <v>12</v>
      </c>
      <c r="D8" s="70" t="s">
        <v>59</v>
      </c>
      <c r="E8" s="305" t="s">
        <v>60</v>
      </c>
    </row>
    <row r="9" spans="1:5" s="73" customFormat="1" ht="24.75" customHeight="1">
      <c r="A9" s="306" t="s">
        <v>61</v>
      </c>
      <c r="B9" s="71"/>
      <c r="C9" s="250"/>
      <c r="D9" s="72"/>
      <c r="E9" s="307"/>
    </row>
    <row r="10" spans="1:5" s="73" customFormat="1" ht="33" customHeight="1">
      <c r="A10" s="308" t="s">
        <v>737</v>
      </c>
      <c r="B10" s="74" t="s">
        <v>62</v>
      </c>
      <c r="C10" s="204"/>
      <c r="D10" s="75" t="s">
        <v>63</v>
      </c>
      <c r="E10" s="309" t="s">
        <v>64</v>
      </c>
    </row>
    <row r="11" spans="1:5" s="73" customFormat="1" ht="31.5" customHeight="1">
      <c r="A11" s="310" t="s">
        <v>65</v>
      </c>
      <c r="B11" s="75"/>
      <c r="C11" s="204"/>
      <c r="D11" s="76"/>
      <c r="E11" s="311"/>
    </row>
    <row r="12" spans="1:5" s="78" customFormat="1" ht="30" customHeight="1">
      <c r="A12" s="312" t="s">
        <v>449</v>
      </c>
      <c r="B12" s="77" t="s">
        <v>66</v>
      </c>
      <c r="C12" s="204"/>
      <c r="D12" s="77" t="s">
        <v>67</v>
      </c>
      <c r="E12" s="313" t="s">
        <v>450</v>
      </c>
    </row>
    <row r="13" spans="1:5" s="78" customFormat="1" ht="28.5" customHeight="1">
      <c r="A13" s="647" t="s">
        <v>453</v>
      </c>
      <c r="B13" s="79" t="s">
        <v>68</v>
      </c>
      <c r="C13" s="204"/>
      <c r="D13" s="79" t="s">
        <v>69</v>
      </c>
      <c r="E13" s="314" t="s">
        <v>738</v>
      </c>
    </row>
    <row r="14" spans="1:5" s="78" customFormat="1" ht="45" customHeight="1">
      <c r="A14" s="648"/>
      <c r="B14" s="80"/>
      <c r="C14" s="204"/>
      <c r="D14" s="80" t="s">
        <v>70</v>
      </c>
      <c r="E14" s="493" t="s">
        <v>739</v>
      </c>
    </row>
    <row r="15" spans="1:5" s="78" customFormat="1" ht="30" customHeight="1">
      <c r="A15" s="312" t="s">
        <v>451</v>
      </c>
      <c r="B15" s="77" t="s">
        <v>66</v>
      </c>
      <c r="C15" s="204"/>
      <c r="D15" s="77" t="s">
        <v>67</v>
      </c>
      <c r="E15" s="313" t="s">
        <v>450</v>
      </c>
    </row>
    <row r="16" spans="1:5" s="78" customFormat="1" ht="28.5" customHeight="1">
      <c r="A16" s="647" t="s">
        <v>452</v>
      </c>
      <c r="B16" s="79" t="s">
        <v>68</v>
      </c>
      <c r="C16" s="204"/>
      <c r="D16" s="79" t="s">
        <v>69</v>
      </c>
      <c r="E16" s="314" t="s">
        <v>738</v>
      </c>
    </row>
    <row r="17" spans="1:5" s="78" customFormat="1" ht="30" customHeight="1">
      <c r="A17" s="648"/>
      <c r="B17" s="80" t="s">
        <v>328</v>
      </c>
      <c r="C17" s="204"/>
      <c r="D17" s="80" t="s">
        <v>70</v>
      </c>
      <c r="E17" s="493" t="s">
        <v>739</v>
      </c>
    </row>
    <row r="18" spans="1:5" s="88" customFormat="1" ht="30.75" customHeight="1">
      <c r="A18" s="315" t="s">
        <v>528</v>
      </c>
      <c r="B18" s="205" t="s">
        <v>530</v>
      </c>
      <c r="C18" s="204"/>
      <c r="D18" s="643" t="s">
        <v>532</v>
      </c>
      <c r="E18" s="645" t="s">
        <v>535</v>
      </c>
    </row>
    <row r="19" spans="1:5" s="88" customFormat="1" ht="21" customHeight="1">
      <c r="A19" s="638" t="s">
        <v>529</v>
      </c>
      <c r="B19" s="206" t="s">
        <v>531</v>
      </c>
      <c r="C19" s="204"/>
      <c r="D19" s="644"/>
      <c r="E19" s="646"/>
    </row>
    <row r="20" spans="1:5" s="88" customFormat="1" ht="25.5">
      <c r="A20" s="638"/>
      <c r="B20" s="205"/>
      <c r="C20" s="204"/>
      <c r="D20" s="333" t="s">
        <v>533</v>
      </c>
      <c r="E20" s="337" t="s">
        <v>534</v>
      </c>
    </row>
    <row r="21" spans="1:5" s="88" customFormat="1" ht="19.5" customHeight="1">
      <c r="A21" s="317" t="s">
        <v>750</v>
      </c>
      <c r="B21" s="206"/>
      <c r="C21" s="204"/>
      <c r="D21" s="207"/>
      <c r="E21" s="318"/>
    </row>
    <row r="22" spans="1:5" s="88" customFormat="1" ht="30.75" customHeight="1">
      <c r="A22" s="315" t="s">
        <v>536</v>
      </c>
      <c r="B22" s="334" t="s">
        <v>538</v>
      </c>
      <c r="C22" s="204"/>
      <c r="D22" s="335" t="s">
        <v>539</v>
      </c>
      <c r="E22" s="316" t="s">
        <v>541</v>
      </c>
    </row>
    <row r="23" spans="1:5" s="88" customFormat="1" ht="26.25" customHeight="1">
      <c r="A23" s="638" t="s">
        <v>537</v>
      </c>
      <c r="B23" s="206"/>
      <c r="C23" s="204"/>
      <c r="D23" s="336" t="s">
        <v>540</v>
      </c>
      <c r="E23" s="337" t="s">
        <v>542</v>
      </c>
    </row>
    <row r="24" spans="1:5" s="88" customFormat="1" ht="24.75" customHeight="1">
      <c r="A24" s="638"/>
      <c r="B24" s="205"/>
      <c r="C24" s="204"/>
      <c r="D24" s="333"/>
      <c r="E24" s="337"/>
    </row>
    <row r="25" spans="1:5" s="88" customFormat="1" ht="20.25" customHeight="1">
      <c r="A25" s="317" t="s">
        <v>750</v>
      </c>
      <c r="B25" s="206"/>
      <c r="C25" s="204"/>
      <c r="D25" s="207"/>
      <c r="E25" s="318"/>
    </row>
    <row r="26" spans="1:5" s="88" customFormat="1" ht="28.5" customHeight="1">
      <c r="A26" s="315" t="s">
        <v>543</v>
      </c>
      <c r="B26" s="334" t="s">
        <v>544</v>
      </c>
      <c r="C26" s="204"/>
      <c r="D26" s="335" t="s">
        <v>545</v>
      </c>
      <c r="E26" s="316" t="s">
        <v>454</v>
      </c>
    </row>
    <row r="27" spans="1:5" s="88" customFormat="1" ht="28.5" customHeight="1">
      <c r="A27" s="638"/>
      <c r="B27" s="206"/>
      <c r="C27" s="204"/>
      <c r="D27" s="336" t="s">
        <v>548</v>
      </c>
      <c r="E27" s="337" t="s">
        <v>549</v>
      </c>
    </row>
    <row r="28" spans="1:5" s="88" customFormat="1" ht="28.5" customHeight="1">
      <c r="A28" s="638"/>
      <c r="B28" s="205"/>
      <c r="C28" s="204"/>
      <c r="D28" s="333" t="s">
        <v>546</v>
      </c>
      <c r="E28" s="337" t="s">
        <v>455</v>
      </c>
    </row>
    <row r="29" spans="1:5" s="88" customFormat="1" ht="28.5" customHeight="1">
      <c r="A29" s="317" t="s">
        <v>750</v>
      </c>
      <c r="B29" s="206"/>
      <c r="C29" s="204"/>
      <c r="D29" s="339" t="s">
        <v>547</v>
      </c>
      <c r="E29" s="318" t="s">
        <v>456</v>
      </c>
    </row>
    <row r="30" spans="1:5" s="81" customFormat="1" ht="30.75" customHeight="1">
      <c r="A30" s="639" t="s">
        <v>550</v>
      </c>
      <c r="B30" s="517" t="s">
        <v>62</v>
      </c>
      <c r="C30" s="204"/>
      <c r="D30" s="517" t="s">
        <v>71</v>
      </c>
      <c r="E30" s="519" t="s">
        <v>740</v>
      </c>
    </row>
    <row r="31" spans="1:5" s="81" customFormat="1" ht="30.75" customHeight="1">
      <c r="A31" s="640"/>
      <c r="B31" s="82" t="s">
        <v>72</v>
      </c>
      <c r="C31" s="204"/>
      <c r="D31" s="83"/>
      <c r="E31" s="521"/>
    </row>
    <row r="32" spans="1:5" s="81" customFormat="1" ht="29.25" customHeight="1">
      <c r="A32" s="623" t="s">
        <v>551</v>
      </c>
      <c r="B32" s="84" t="s">
        <v>73</v>
      </c>
      <c r="C32" s="204"/>
      <c r="D32" s="85" t="s">
        <v>74</v>
      </c>
      <c r="E32" s="519" t="s">
        <v>741</v>
      </c>
    </row>
    <row r="33" spans="1:5" s="81" customFormat="1" ht="29.25" customHeight="1">
      <c r="A33" s="624"/>
      <c r="B33" s="86" t="s">
        <v>75</v>
      </c>
      <c r="C33" s="204"/>
      <c r="D33" s="87" t="s">
        <v>76</v>
      </c>
      <c r="E33" s="321"/>
    </row>
    <row r="34" spans="1:5" s="81" customFormat="1" ht="25.5">
      <c r="A34" s="322" t="s">
        <v>552</v>
      </c>
      <c r="B34" s="517" t="s">
        <v>287</v>
      </c>
      <c r="C34" s="204"/>
      <c r="D34" s="641" t="s">
        <v>288</v>
      </c>
      <c r="E34" s="519" t="s">
        <v>289</v>
      </c>
    </row>
    <row r="35" spans="1:5" s="81" customFormat="1" ht="36">
      <c r="A35" s="323" t="s">
        <v>290</v>
      </c>
      <c r="B35" s="518" t="s">
        <v>291</v>
      </c>
      <c r="C35" s="251"/>
      <c r="D35" s="642"/>
      <c r="E35" s="521"/>
    </row>
    <row r="36" spans="1:5" s="88" customFormat="1" ht="21.95" customHeight="1">
      <c r="A36" s="613" t="s">
        <v>77</v>
      </c>
      <c r="B36" s="615" t="s">
        <v>78</v>
      </c>
      <c r="C36" s="615" t="s">
        <v>79</v>
      </c>
      <c r="D36" s="617" t="s">
        <v>80</v>
      </c>
      <c r="E36" s="619" t="s">
        <v>81</v>
      </c>
    </row>
    <row r="37" spans="1:5" s="88" customFormat="1" ht="18" customHeight="1" thickBot="1">
      <c r="A37" s="614"/>
      <c r="B37" s="616"/>
      <c r="C37" s="616"/>
      <c r="D37" s="618"/>
      <c r="E37" s="620"/>
    </row>
    <row r="38" spans="1:5" s="243" customFormat="1" ht="20.100000000000001" customHeight="1">
      <c r="A38" s="631" t="s">
        <v>42</v>
      </c>
      <c r="B38" s="632"/>
      <c r="C38" s="635" t="s">
        <v>43</v>
      </c>
      <c r="D38" s="635"/>
      <c r="E38" s="299" t="s">
        <v>44</v>
      </c>
    </row>
    <row r="39" spans="1:5" s="243" customFormat="1" ht="20.100000000000001" customHeight="1">
      <c r="A39" s="633"/>
      <c r="B39" s="634"/>
      <c r="C39" s="636"/>
      <c r="D39" s="636"/>
      <c r="E39" s="300" t="s">
        <v>45</v>
      </c>
    </row>
    <row r="40" spans="1:5" s="243" customFormat="1" ht="20.100000000000001" customHeight="1">
      <c r="A40" s="633"/>
      <c r="B40" s="634"/>
      <c r="C40" s="636"/>
      <c r="D40" s="636"/>
      <c r="E40" s="300" t="s">
        <v>46</v>
      </c>
    </row>
    <row r="41" spans="1:5" s="245" customFormat="1" ht="21.75" customHeight="1">
      <c r="A41" s="301" t="s">
        <v>47</v>
      </c>
      <c r="B41" s="61" t="s">
        <v>437</v>
      </c>
      <c r="C41" s="62" t="s">
        <v>48</v>
      </c>
      <c r="D41" s="63" t="s">
        <v>447</v>
      </c>
      <c r="E41" s="610" t="s">
        <v>49</v>
      </c>
    </row>
    <row r="42" spans="1:5" s="245" customFormat="1" ht="24.95" customHeight="1">
      <c r="A42" s="302" t="s">
        <v>50</v>
      </c>
      <c r="B42" s="64">
        <v>252709140196</v>
      </c>
      <c r="C42" s="65" t="s">
        <v>51</v>
      </c>
      <c r="D42" s="66" t="s">
        <v>446</v>
      </c>
      <c r="E42" s="611"/>
    </row>
    <row r="43" spans="1:5" s="245" customFormat="1" ht="25.5" customHeight="1">
      <c r="A43" s="302" t="s">
        <v>52</v>
      </c>
      <c r="B43" s="64" t="s">
        <v>458</v>
      </c>
      <c r="C43" s="65" t="s">
        <v>53</v>
      </c>
      <c r="D43" s="246">
        <v>42010</v>
      </c>
      <c r="E43" s="611"/>
    </row>
    <row r="44" spans="1:5" s="245" customFormat="1" ht="25.5" customHeight="1">
      <c r="A44" s="303" t="s">
        <v>54</v>
      </c>
      <c r="B44" s="208" t="s">
        <v>457</v>
      </c>
      <c r="C44" s="67" t="s">
        <v>56</v>
      </c>
      <c r="D44" s="69" t="s">
        <v>55</v>
      </c>
      <c r="E44" s="612"/>
    </row>
    <row r="45" spans="1:5" s="245" customFormat="1" ht="29.25" customHeight="1">
      <c r="A45" s="304" t="s">
        <v>57</v>
      </c>
      <c r="B45" s="70" t="s">
        <v>58</v>
      </c>
      <c r="C45" s="70" t="s">
        <v>12</v>
      </c>
      <c r="D45" s="70" t="s">
        <v>59</v>
      </c>
      <c r="E45" s="305" t="s">
        <v>60</v>
      </c>
    </row>
    <row r="46" spans="1:5" s="91" customFormat="1" ht="21.75" customHeight="1">
      <c r="A46" s="288" t="s">
        <v>82</v>
      </c>
      <c r="B46" s="89" t="s">
        <v>83</v>
      </c>
      <c r="C46" s="244"/>
      <c r="D46" s="89" t="s">
        <v>302</v>
      </c>
      <c r="E46" s="324" t="s">
        <v>84</v>
      </c>
    </row>
    <row r="47" spans="1:5" s="91" customFormat="1" ht="21.75" customHeight="1">
      <c r="A47" s="621" t="s">
        <v>465</v>
      </c>
      <c r="B47" s="89" t="s">
        <v>85</v>
      </c>
      <c r="C47" s="247"/>
      <c r="D47" s="92" t="s">
        <v>86</v>
      </c>
      <c r="E47" s="325" t="s">
        <v>755</v>
      </c>
    </row>
    <row r="48" spans="1:5" s="91" customFormat="1" ht="21.75" customHeight="1">
      <c r="A48" s="621"/>
      <c r="B48" s="89" t="s">
        <v>292</v>
      </c>
      <c r="C48" s="247"/>
      <c r="D48" s="92" t="s">
        <v>87</v>
      </c>
      <c r="E48" s="325"/>
    </row>
    <row r="49" spans="1:15" s="91" customFormat="1" ht="21.75" customHeight="1">
      <c r="A49" s="621" t="s">
        <v>65</v>
      </c>
      <c r="B49" s="89" t="s">
        <v>88</v>
      </c>
      <c r="C49" s="247"/>
      <c r="D49" s="89" t="s">
        <v>466</v>
      </c>
      <c r="E49" s="325"/>
    </row>
    <row r="50" spans="1:15" s="91" customFormat="1" ht="21.75" customHeight="1">
      <c r="A50" s="622"/>
      <c r="B50" s="94" t="s">
        <v>90</v>
      </c>
      <c r="C50" s="247"/>
      <c r="D50" s="93" t="s">
        <v>89</v>
      </c>
      <c r="E50" s="325"/>
    </row>
    <row r="51" spans="1:15" s="499" customFormat="1" ht="20.100000000000001" customHeight="1">
      <c r="A51" s="494" t="s">
        <v>742</v>
      </c>
      <c r="B51" s="495" t="s">
        <v>743</v>
      </c>
      <c r="C51" s="247"/>
      <c r="D51" s="496" t="s">
        <v>744</v>
      </c>
      <c r="E51" s="497" t="s">
        <v>91</v>
      </c>
      <c r="F51" s="498"/>
      <c r="G51" s="498"/>
      <c r="H51" s="498"/>
      <c r="I51" s="498"/>
      <c r="J51" s="498"/>
      <c r="K51" s="498"/>
      <c r="L51" s="498"/>
      <c r="M51" s="498"/>
      <c r="N51" s="498"/>
      <c r="O51" s="498"/>
    </row>
    <row r="52" spans="1:15" s="499" customFormat="1" ht="20.100000000000001" customHeight="1">
      <c r="A52" s="500" t="s">
        <v>745</v>
      </c>
      <c r="B52" s="501" t="s">
        <v>92</v>
      </c>
      <c r="C52" s="247"/>
      <c r="D52" s="502" t="s">
        <v>761</v>
      </c>
      <c r="E52" s="503"/>
      <c r="F52" s="498"/>
      <c r="G52" s="498"/>
      <c r="H52" s="498"/>
      <c r="I52" s="498"/>
      <c r="J52" s="498"/>
      <c r="K52" s="498"/>
      <c r="L52" s="498"/>
      <c r="M52" s="498"/>
      <c r="N52" s="498"/>
      <c r="O52" s="498"/>
    </row>
    <row r="53" spans="1:15" s="499" customFormat="1" ht="20.100000000000001" customHeight="1">
      <c r="A53" s="500" t="s">
        <v>747</v>
      </c>
      <c r="B53" s="501" t="s">
        <v>93</v>
      </c>
      <c r="C53" s="247"/>
      <c r="D53" s="502" t="s">
        <v>756</v>
      </c>
      <c r="E53" s="503"/>
      <c r="F53" s="498"/>
      <c r="G53" s="498"/>
      <c r="H53" s="498"/>
      <c r="I53" s="498"/>
      <c r="J53" s="498"/>
      <c r="K53" s="498"/>
      <c r="L53" s="498"/>
      <c r="M53" s="498"/>
      <c r="N53" s="498"/>
      <c r="O53" s="498"/>
    </row>
    <row r="54" spans="1:15" s="499" customFormat="1" ht="27.75" customHeight="1">
      <c r="A54" s="504" t="s">
        <v>748</v>
      </c>
      <c r="B54" s="501" t="s">
        <v>94</v>
      </c>
      <c r="C54" s="247"/>
      <c r="D54" s="505" t="s">
        <v>749</v>
      </c>
      <c r="E54" s="503"/>
      <c r="F54" s="498"/>
      <c r="G54" s="498"/>
      <c r="H54" s="498"/>
      <c r="I54" s="498"/>
      <c r="J54" s="498"/>
      <c r="K54" s="498"/>
      <c r="L54" s="498"/>
      <c r="M54" s="498"/>
      <c r="N54" s="498"/>
      <c r="O54" s="498"/>
    </row>
    <row r="55" spans="1:15" s="91" customFormat="1" ht="20.100000000000001" customHeight="1">
      <c r="A55" s="288" t="s">
        <v>751</v>
      </c>
      <c r="B55" s="96" t="s">
        <v>459</v>
      </c>
      <c r="C55" s="247"/>
      <c r="D55" s="96" t="s">
        <v>467</v>
      </c>
      <c r="E55" s="289" t="s">
        <v>95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</row>
    <row r="56" spans="1:15" s="91" customFormat="1" ht="20.100000000000001" customHeight="1">
      <c r="A56" s="290" t="s">
        <v>460</v>
      </c>
      <c r="B56" s="98" t="s">
        <v>461</v>
      </c>
      <c r="C56" s="247"/>
      <c r="D56" s="98" t="s">
        <v>468</v>
      </c>
      <c r="E56" s="291" t="s">
        <v>96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</row>
    <row r="57" spans="1:15" s="91" customFormat="1" ht="20.100000000000001" customHeight="1">
      <c r="A57" s="290" t="s">
        <v>464</v>
      </c>
      <c r="B57" s="98" t="s">
        <v>93</v>
      </c>
      <c r="C57" s="247"/>
      <c r="D57" s="292" t="s">
        <v>469</v>
      </c>
      <c r="E57" s="291" t="s">
        <v>462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</row>
    <row r="58" spans="1:15" s="91" customFormat="1" ht="36.75" customHeight="1">
      <c r="A58" s="293" t="s">
        <v>65</v>
      </c>
      <c r="B58" s="98" t="s">
        <v>94</v>
      </c>
      <c r="C58" s="247"/>
      <c r="D58" s="522" t="s">
        <v>463</v>
      </c>
      <c r="E58" s="294"/>
      <c r="F58" s="97"/>
      <c r="G58" s="97"/>
      <c r="H58" s="97"/>
      <c r="I58" s="97"/>
      <c r="J58" s="97"/>
      <c r="K58" s="97"/>
      <c r="L58" s="97"/>
      <c r="M58" s="97"/>
      <c r="N58" s="97"/>
      <c r="O58" s="97"/>
    </row>
    <row r="59" spans="1:15" s="91" customFormat="1" ht="24.75" customHeight="1">
      <c r="A59" s="288" t="s">
        <v>752</v>
      </c>
      <c r="B59" s="96" t="s">
        <v>470</v>
      </c>
      <c r="C59" s="247"/>
      <c r="D59" s="96" t="s">
        <v>98</v>
      </c>
      <c r="E59" s="289" t="s">
        <v>91</v>
      </c>
    </row>
    <row r="60" spans="1:15" s="91" customFormat="1" ht="24.75" customHeight="1">
      <c r="A60" s="295" t="s">
        <v>475</v>
      </c>
      <c r="B60" s="292" t="s">
        <v>471</v>
      </c>
      <c r="C60" s="247"/>
      <c r="D60" s="98" t="s">
        <v>472</v>
      </c>
      <c r="E60" s="291" t="s">
        <v>473</v>
      </c>
    </row>
    <row r="61" spans="1:15" s="91" customFormat="1" ht="24.75" customHeight="1">
      <c r="A61" s="295" t="s">
        <v>65</v>
      </c>
      <c r="B61" s="296"/>
      <c r="C61" s="247"/>
      <c r="D61" s="95"/>
      <c r="E61" s="297" t="s">
        <v>474</v>
      </c>
    </row>
    <row r="62" spans="1:15" s="81" customFormat="1" ht="33.75" customHeight="1">
      <c r="A62" s="627" t="s">
        <v>753</v>
      </c>
      <c r="B62" s="517" t="s">
        <v>62</v>
      </c>
      <c r="C62" s="247"/>
      <c r="D62" s="517" t="s">
        <v>71</v>
      </c>
      <c r="E62" s="519" t="s">
        <v>740</v>
      </c>
    </row>
    <row r="63" spans="1:15" s="81" customFormat="1" ht="33.75" customHeight="1">
      <c r="A63" s="637"/>
      <c r="B63" s="82" t="s">
        <v>72</v>
      </c>
      <c r="C63" s="247"/>
      <c r="D63" s="83"/>
      <c r="E63" s="520"/>
    </row>
    <row r="64" spans="1:15" s="81" customFormat="1" ht="21.75" customHeight="1">
      <c r="A64" s="629" t="s">
        <v>754</v>
      </c>
      <c r="B64" s="84" t="s">
        <v>73</v>
      </c>
      <c r="C64" s="247"/>
      <c r="D64" s="85" t="s">
        <v>74</v>
      </c>
      <c r="E64" s="604" t="s">
        <v>741</v>
      </c>
    </row>
    <row r="65" spans="1:5" s="81" customFormat="1" ht="21.75" customHeight="1">
      <c r="A65" s="629"/>
      <c r="B65" s="101"/>
      <c r="C65" s="247"/>
      <c r="D65" s="102"/>
      <c r="E65" s="605"/>
    </row>
    <row r="66" spans="1:5" s="81" customFormat="1" ht="32.25" customHeight="1">
      <c r="A66" s="630"/>
      <c r="B66" s="86" t="s">
        <v>75</v>
      </c>
      <c r="C66" s="248"/>
      <c r="D66" s="87" t="s">
        <v>76</v>
      </c>
      <c r="E66" s="606"/>
    </row>
    <row r="67" spans="1:5" s="88" customFormat="1" ht="21.95" customHeight="1">
      <c r="A67" s="613" t="s">
        <v>77</v>
      </c>
      <c r="B67" s="615" t="s">
        <v>78</v>
      </c>
      <c r="C67" s="615" t="s">
        <v>79</v>
      </c>
      <c r="D67" s="617" t="s">
        <v>80</v>
      </c>
      <c r="E67" s="619" t="s">
        <v>81</v>
      </c>
    </row>
    <row r="68" spans="1:5" s="88" customFormat="1" ht="18" customHeight="1" thickBot="1">
      <c r="A68" s="614"/>
      <c r="B68" s="616"/>
      <c r="C68" s="616"/>
      <c r="D68" s="618"/>
      <c r="E68" s="620"/>
    </row>
    <row r="69" spans="1:5" s="243" customFormat="1" ht="20.100000000000001" customHeight="1">
      <c r="A69" s="631" t="s">
        <v>42</v>
      </c>
      <c r="B69" s="632"/>
      <c r="C69" s="635" t="s">
        <v>43</v>
      </c>
      <c r="D69" s="635"/>
      <c r="E69" s="299" t="s">
        <v>44</v>
      </c>
    </row>
    <row r="70" spans="1:5" s="243" customFormat="1" ht="20.100000000000001" customHeight="1">
      <c r="A70" s="633"/>
      <c r="B70" s="634"/>
      <c r="C70" s="636"/>
      <c r="D70" s="636"/>
      <c r="E70" s="300" t="s">
        <v>45</v>
      </c>
    </row>
    <row r="71" spans="1:5" s="243" customFormat="1" ht="20.100000000000001" customHeight="1">
      <c r="A71" s="633"/>
      <c r="B71" s="634"/>
      <c r="C71" s="636"/>
      <c r="D71" s="636"/>
      <c r="E71" s="300" t="s">
        <v>46</v>
      </c>
    </row>
    <row r="72" spans="1:5" s="245" customFormat="1" ht="21.75" customHeight="1">
      <c r="A72" s="301" t="s">
        <v>47</v>
      </c>
      <c r="B72" s="61" t="s">
        <v>437</v>
      </c>
      <c r="C72" s="62" t="s">
        <v>48</v>
      </c>
      <c r="D72" s="63" t="s">
        <v>447</v>
      </c>
      <c r="E72" s="610" t="s">
        <v>49</v>
      </c>
    </row>
    <row r="73" spans="1:5" s="245" customFormat="1" ht="24.95" customHeight="1">
      <c r="A73" s="302" t="s">
        <v>50</v>
      </c>
      <c r="B73" s="64">
        <v>252709140196</v>
      </c>
      <c r="C73" s="65" t="s">
        <v>51</v>
      </c>
      <c r="D73" s="66" t="s">
        <v>446</v>
      </c>
      <c r="E73" s="611"/>
    </row>
    <row r="74" spans="1:5" s="245" customFormat="1" ht="25.5" customHeight="1">
      <c r="A74" s="302" t="s">
        <v>52</v>
      </c>
      <c r="B74" s="64" t="s">
        <v>476</v>
      </c>
      <c r="C74" s="65" t="s">
        <v>53</v>
      </c>
      <c r="D74" s="246">
        <v>42010</v>
      </c>
      <c r="E74" s="611"/>
    </row>
    <row r="75" spans="1:5" s="245" customFormat="1" ht="25.5" customHeight="1">
      <c r="A75" s="303" t="s">
        <v>54</v>
      </c>
      <c r="B75" s="208" t="s">
        <v>477</v>
      </c>
      <c r="C75" s="67" t="s">
        <v>56</v>
      </c>
      <c r="D75" s="69" t="s">
        <v>55</v>
      </c>
      <c r="E75" s="612"/>
    </row>
    <row r="76" spans="1:5" s="245" customFormat="1" ht="29.25" customHeight="1">
      <c r="A76" s="304" t="s">
        <v>57</v>
      </c>
      <c r="B76" s="70" t="s">
        <v>58</v>
      </c>
      <c r="C76" s="70" t="s">
        <v>12</v>
      </c>
      <c r="D76" s="70" t="s">
        <v>59</v>
      </c>
      <c r="E76" s="305" t="s">
        <v>60</v>
      </c>
    </row>
    <row r="77" spans="1:5" s="91" customFormat="1" ht="21.75" customHeight="1">
      <c r="A77" s="288" t="s">
        <v>82</v>
      </c>
      <c r="B77" s="89" t="s">
        <v>83</v>
      </c>
      <c r="C77" s="244"/>
      <c r="D77" s="89" t="s">
        <v>302</v>
      </c>
      <c r="E77" s="324" t="s">
        <v>84</v>
      </c>
    </row>
    <row r="78" spans="1:5" s="91" customFormat="1" ht="21.75" customHeight="1">
      <c r="A78" s="621" t="s">
        <v>465</v>
      </c>
      <c r="B78" s="89" t="s">
        <v>85</v>
      </c>
      <c r="C78" s="247"/>
      <c r="D78" s="92" t="s">
        <v>86</v>
      </c>
      <c r="E78" s="325" t="s">
        <v>755</v>
      </c>
    </row>
    <row r="79" spans="1:5" s="91" customFormat="1" ht="21.75" customHeight="1">
      <c r="A79" s="621"/>
      <c r="B79" s="89" t="s">
        <v>292</v>
      </c>
      <c r="C79" s="247"/>
      <c r="D79" s="92" t="s">
        <v>87</v>
      </c>
      <c r="E79" s="325"/>
    </row>
    <row r="80" spans="1:5" s="91" customFormat="1" ht="21.75" customHeight="1">
      <c r="A80" s="621" t="s">
        <v>65</v>
      </c>
      <c r="B80" s="89" t="s">
        <v>88</v>
      </c>
      <c r="C80" s="247"/>
      <c r="D80" s="89" t="s">
        <v>466</v>
      </c>
      <c r="E80" s="325"/>
    </row>
    <row r="81" spans="1:15" s="91" customFormat="1" ht="21.75" customHeight="1">
      <c r="A81" s="622"/>
      <c r="B81" s="94" t="s">
        <v>90</v>
      </c>
      <c r="C81" s="247"/>
      <c r="D81" s="93" t="s">
        <v>89</v>
      </c>
      <c r="E81" s="325"/>
    </row>
    <row r="82" spans="1:15" s="499" customFormat="1" ht="20.100000000000001" customHeight="1">
      <c r="A82" s="494" t="s">
        <v>742</v>
      </c>
      <c r="B82" s="495" t="s">
        <v>743</v>
      </c>
      <c r="C82" s="247"/>
      <c r="D82" s="496" t="s">
        <v>744</v>
      </c>
      <c r="E82" s="497" t="s">
        <v>91</v>
      </c>
      <c r="F82" s="498"/>
      <c r="G82" s="498"/>
      <c r="H82" s="498"/>
      <c r="I82" s="498"/>
      <c r="J82" s="498"/>
      <c r="K82" s="498"/>
      <c r="L82" s="498"/>
      <c r="M82" s="498"/>
      <c r="N82" s="498"/>
      <c r="O82" s="498"/>
    </row>
    <row r="83" spans="1:15" s="499" customFormat="1" ht="20.100000000000001" customHeight="1">
      <c r="A83" s="500" t="s">
        <v>745</v>
      </c>
      <c r="B83" s="501" t="s">
        <v>92</v>
      </c>
      <c r="C83" s="247"/>
      <c r="D83" s="502" t="s">
        <v>746</v>
      </c>
      <c r="E83" s="503"/>
      <c r="F83" s="498"/>
      <c r="G83" s="498"/>
      <c r="H83" s="498"/>
      <c r="I83" s="498"/>
      <c r="J83" s="498"/>
      <c r="K83" s="498"/>
      <c r="L83" s="498"/>
      <c r="M83" s="498"/>
      <c r="N83" s="498"/>
      <c r="O83" s="498"/>
    </row>
    <row r="84" spans="1:15" s="499" customFormat="1" ht="20.100000000000001" customHeight="1">
      <c r="A84" s="500" t="s">
        <v>747</v>
      </c>
      <c r="B84" s="501" t="s">
        <v>93</v>
      </c>
      <c r="C84" s="247"/>
      <c r="D84" s="502" t="s">
        <v>756</v>
      </c>
      <c r="E84" s="503"/>
      <c r="F84" s="498"/>
      <c r="G84" s="498"/>
      <c r="H84" s="498"/>
      <c r="I84" s="498"/>
      <c r="J84" s="498"/>
      <c r="K84" s="498"/>
      <c r="L84" s="498"/>
      <c r="M84" s="498"/>
      <c r="N84" s="498"/>
      <c r="O84" s="498"/>
    </row>
    <row r="85" spans="1:15" s="499" customFormat="1" ht="27.75" customHeight="1">
      <c r="A85" s="504" t="s">
        <v>748</v>
      </c>
      <c r="B85" s="501" t="s">
        <v>94</v>
      </c>
      <c r="C85" s="247"/>
      <c r="D85" s="505" t="s">
        <v>749</v>
      </c>
      <c r="E85" s="503"/>
      <c r="F85" s="498"/>
      <c r="G85" s="498"/>
      <c r="H85" s="498"/>
      <c r="I85" s="498"/>
      <c r="J85" s="498"/>
      <c r="K85" s="498"/>
      <c r="L85" s="498"/>
      <c r="M85" s="498"/>
      <c r="N85" s="498"/>
      <c r="O85" s="498"/>
    </row>
    <row r="86" spans="1:15" s="91" customFormat="1" ht="20.100000000000001" customHeight="1">
      <c r="A86" s="288" t="s">
        <v>751</v>
      </c>
      <c r="B86" s="96" t="s">
        <v>459</v>
      </c>
      <c r="C86" s="247"/>
      <c r="D86" s="96" t="s">
        <v>479</v>
      </c>
      <c r="E86" s="289" t="s">
        <v>95</v>
      </c>
      <c r="F86" s="97"/>
      <c r="G86" s="97"/>
      <c r="H86" s="97"/>
      <c r="I86" s="97"/>
      <c r="J86" s="97"/>
      <c r="K86" s="97"/>
      <c r="L86" s="97"/>
      <c r="M86" s="97"/>
      <c r="N86" s="97"/>
      <c r="O86" s="97"/>
    </row>
    <row r="87" spans="1:15" s="91" customFormat="1" ht="20.100000000000001" customHeight="1">
      <c r="A87" s="290" t="s">
        <v>460</v>
      </c>
      <c r="B87" s="98" t="s">
        <v>461</v>
      </c>
      <c r="C87" s="247"/>
      <c r="D87" s="98" t="s">
        <v>468</v>
      </c>
      <c r="E87" s="291" t="s">
        <v>96</v>
      </c>
      <c r="F87" s="97"/>
      <c r="G87" s="97"/>
      <c r="H87" s="97"/>
      <c r="I87" s="97"/>
      <c r="J87" s="97"/>
      <c r="K87" s="97"/>
      <c r="L87" s="97"/>
      <c r="M87" s="97"/>
      <c r="N87" s="97"/>
      <c r="O87" s="97"/>
    </row>
    <row r="88" spans="1:15" s="91" customFormat="1" ht="20.100000000000001" customHeight="1">
      <c r="A88" s="290" t="s">
        <v>482</v>
      </c>
      <c r="B88" s="98" t="s">
        <v>93</v>
      </c>
      <c r="C88" s="247"/>
      <c r="D88" s="292" t="s">
        <v>469</v>
      </c>
      <c r="E88" s="291" t="s">
        <v>462</v>
      </c>
      <c r="F88" s="97"/>
      <c r="G88" s="97"/>
      <c r="H88" s="97"/>
      <c r="I88" s="97"/>
      <c r="J88" s="97"/>
      <c r="K88" s="97"/>
      <c r="L88" s="97"/>
      <c r="M88" s="97"/>
      <c r="N88" s="97"/>
      <c r="O88" s="97"/>
    </row>
    <row r="89" spans="1:15" s="91" customFormat="1" ht="36.75" customHeight="1">
      <c r="A89" s="293" t="s">
        <v>65</v>
      </c>
      <c r="B89" s="98" t="s">
        <v>94</v>
      </c>
      <c r="C89" s="247"/>
      <c r="D89" s="522" t="s">
        <v>463</v>
      </c>
      <c r="E89" s="294"/>
      <c r="F89" s="97"/>
      <c r="G89" s="97"/>
      <c r="H89" s="97"/>
      <c r="I89" s="97"/>
      <c r="J89" s="97"/>
      <c r="K89" s="97"/>
      <c r="L89" s="97"/>
      <c r="M89" s="97"/>
      <c r="N89" s="97"/>
      <c r="O89" s="97"/>
    </row>
    <row r="90" spans="1:15" s="91" customFormat="1" ht="24.75" customHeight="1">
      <c r="A90" s="288" t="s">
        <v>752</v>
      </c>
      <c r="B90" s="96" t="s">
        <v>470</v>
      </c>
      <c r="C90" s="247"/>
      <c r="D90" s="96" t="s">
        <v>98</v>
      </c>
      <c r="E90" s="289" t="s">
        <v>91</v>
      </c>
    </row>
    <row r="91" spans="1:15" s="91" customFormat="1" ht="24.75" customHeight="1">
      <c r="A91" s="295" t="s">
        <v>475</v>
      </c>
      <c r="B91" s="292" t="s">
        <v>471</v>
      </c>
      <c r="C91" s="247"/>
      <c r="D91" s="98" t="s">
        <v>472</v>
      </c>
      <c r="E91" s="291" t="s">
        <v>473</v>
      </c>
    </row>
    <row r="92" spans="1:15" s="91" customFormat="1" ht="24.75" customHeight="1">
      <c r="A92" s="295" t="s">
        <v>65</v>
      </c>
      <c r="B92" s="296"/>
      <c r="C92" s="247"/>
      <c r="D92" s="95"/>
      <c r="E92" s="297" t="s">
        <v>474</v>
      </c>
    </row>
    <row r="93" spans="1:15" s="81" customFormat="1" ht="33.75" customHeight="1">
      <c r="A93" s="627" t="s">
        <v>753</v>
      </c>
      <c r="B93" s="517" t="s">
        <v>62</v>
      </c>
      <c r="C93" s="247"/>
      <c r="D93" s="517" t="s">
        <v>71</v>
      </c>
      <c r="E93" s="519" t="s">
        <v>740</v>
      </c>
    </row>
    <row r="94" spans="1:15" s="81" customFormat="1" ht="33.75" customHeight="1">
      <c r="A94" s="637"/>
      <c r="B94" s="82" t="s">
        <v>72</v>
      </c>
      <c r="C94" s="247"/>
      <c r="D94" s="83"/>
      <c r="E94" s="520"/>
    </row>
    <row r="95" spans="1:15" s="81" customFormat="1" ht="21.75" customHeight="1">
      <c r="A95" s="629" t="s">
        <v>754</v>
      </c>
      <c r="B95" s="84" t="s">
        <v>73</v>
      </c>
      <c r="C95" s="247"/>
      <c r="D95" s="85" t="s">
        <v>74</v>
      </c>
      <c r="E95" s="604" t="s">
        <v>741</v>
      </c>
    </row>
    <row r="96" spans="1:15" s="81" customFormat="1" ht="21.75" customHeight="1">
      <c r="A96" s="629"/>
      <c r="B96" s="101"/>
      <c r="C96" s="247"/>
      <c r="D96" s="102"/>
      <c r="E96" s="605"/>
    </row>
    <row r="97" spans="1:5" s="81" customFormat="1" ht="32.25" customHeight="1">
      <c r="A97" s="630"/>
      <c r="B97" s="86" t="s">
        <v>75</v>
      </c>
      <c r="C97" s="248"/>
      <c r="D97" s="87" t="s">
        <v>76</v>
      </c>
      <c r="E97" s="606"/>
    </row>
    <row r="98" spans="1:5" s="88" customFormat="1" ht="21.95" customHeight="1">
      <c r="A98" s="613" t="s">
        <v>77</v>
      </c>
      <c r="B98" s="615" t="s">
        <v>78</v>
      </c>
      <c r="C98" s="615" t="s">
        <v>79</v>
      </c>
      <c r="D98" s="617" t="s">
        <v>80</v>
      </c>
      <c r="E98" s="619" t="s">
        <v>81</v>
      </c>
    </row>
    <row r="99" spans="1:5" s="88" customFormat="1" ht="18" customHeight="1" thickBot="1">
      <c r="A99" s="614"/>
      <c r="B99" s="616"/>
      <c r="C99" s="616"/>
      <c r="D99" s="618"/>
      <c r="E99" s="620"/>
    </row>
    <row r="100" spans="1:5" s="243" customFormat="1" ht="20.100000000000001" customHeight="1">
      <c r="A100" s="631" t="s">
        <v>42</v>
      </c>
      <c r="B100" s="632"/>
      <c r="C100" s="635" t="s">
        <v>43</v>
      </c>
      <c r="D100" s="635"/>
      <c r="E100" s="299" t="s">
        <v>44</v>
      </c>
    </row>
    <row r="101" spans="1:5" s="243" customFormat="1" ht="20.100000000000001" customHeight="1">
      <c r="A101" s="633"/>
      <c r="B101" s="634"/>
      <c r="C101" s="636"/>
      <c r="D101" s="636"/>
      <c r="E101" s="300" t="s">
        <v>45</v>
      </c>
    </row>
    <row r="102" spans="1:5" s="243" customFormat="1" ht="20.100000000000001" customHeight="1">
      <c r="A102" s="633"/>
      <c r="B102" s="634"/>
      <c r="C102" s="636"/>
      <c r="D102" s="636"/>
      <c r="E102" s="300" t="s">
        <v>46</v>
      </c>
    </row>
    <row r="103" spans="1:5" s="245" customFormat="1" ht="21" customHeight="1">
      <c r="A103" s="301" t="s">
        <v>47</v>
      </c>
      <c r="B103" s="61" t="s">
        <v>437</v>
      </c>
      <c r="C103" s="62" t="s">
        <v>48</v>
      </c>
      <c r="D103" s="63" t="s">
        <v>447</v>
      </c>
      <c r="E103" s="610" t="s">
        <v>49</v>
      </c>
    </row>
    <row r="104" spans="1:5" s="245" customFormat="1" ht="21" customHeight="1">
      <c r="A104" s="302" t="s">
        <v>50</v>
      </c>
      <c r="B104" s="64">
        <v>252709140196</v>
      </c>
      <c r="C104" s="65" t="s">
        <v>51</v>
      </c>
      <c r="D104" s="66" t="s">
        <v>446</v>
      </c>
      <c r="E104" s="611"/>
    </row>
    <row r="105" spans="1:5" s="245" customFormat="1" ht="21" customHeight="1">
      <c r="A105" s="302" t="s">
        <v>52</v>
      </c>
      <c r="B105" s="64" t="s">
        <v>485</v>
      </c>
      <c r="C105" s="65" t="s">
        <v>53</v>
      </c>
      <c r="D105" s="246">
        <v>42010</v>
      </c>
      <c r="E105" s="611"/>
    </row>
    <row r="106" spans="1:5" s="245" customFormat="1" ht="25.5" customHeight="1">
      <c r="A106" s="303" t="s">
        <v>54</v>
      </c>
      <c r="B106" s="208" t="s">
        <v>478</v>
      </c>
      <c r="C106" s="67" t="s">
        <v>56</v>
      </c>
      <c r="D106" s="69" t="s">
        <v>55</v>
      </c>
      <c r="E106" s="612"/>
    </row>
    <row r="107" spans="1:5" s="245" customFormat="1" ht="29.25" customHeight="1">
      <c r="A107" s="304" t="s">
        <v>57</v>
      </c>
      <c r="B107" s="70" t="s">
        <v>58</v>
      </c>
      <c r="C107" s="70" t="s">
        <v>12</v>
      </c>
      <c r="D107" s="70" t="s">
        <v>59</v>
      </c>
      <c r="E107" s="305" t="s">
        <v>60</v>
      </c>
    </row>
    <row r="108" spans="1:5" s="91" customFormat="1" ht="21.75" customHeight="1">
      <c r="A108" s="288" t="s">
        <v>82</v>
      </c>
      <c r="B108" s="89" t="s">
        <v>83</v>
      </c>
      <c r="C108" s="244"/>
      <c r="D108" s="89" t="s">
        <v>302</v>
      </c>
      <c r="E108" s="324" t="s">
        <v>84</v>
      </c>
    </row>
    <row r="109" spans="1:5" s="91" customFormat="1" ht="21.75" customHeight="1">
      <c r="A109" s="621" t="s">
        <v>465</v>
      </c>
      <c r="B109" s="89" t="s">
        <v>85</v>
      </c>
      <c r="C109" s="247"/>
      <c r="D109" s="92" t="s">
        <v>86</v>
      </c>
      <c r="E109" s="325" t="s">
        <v>755</v>
      </c>
    </row>
    <row r="110" spans="1:5" s="91" customFormat="1" ht="21.75" customHeight="1">
      <c r="A110" s="621"/>
      <c r="B110" s="89" t="s">
        <v>292</v>
      </c>
      <c r="C110" s="247"/>
      <c r="D110" s="92" t="s">
        <v>87</v>
      </c>
      <c r="E110" s="325"/>
    </row>
    <row r="111" spans="1:5" s="91" customFormat="1" ht="21.75" customHeight="1">
      <c r="A111" s="621" t="s">
        <v>65</v>
      </c>
      <c r="B111" s="89" t="s">
        <v>88</v>
      </c>
      <c r="C111" s="247"/>
      <c r="D111" s="89" t="s">
        <v>466</v>
      </c>
      <c r="E111" s="325"/>
    </row>
    <row r="112" spans="1:5" s="91" customFormat="1" ht="21.75" customHeight="1">
      <c r="A112" s="622"/>
      <c r="B112" s="94" t="s">
        <v>90</v>
      </c>
      <c r="C112" s="247"/>
      <c r="D112" s="93" t="s">
        <v>89</v>
      </c>
      <c r="E112" s="325"/>
    </row>
    <row r="113" spans="1:15" s="499" customFormat="1" ht="20.100000000000001" customHeight="1">
      <c r="A113" s="494" t="s">
        <v>742</v>
      </c>
      <c r="B113" s="495" t="s">
        <v>743</v>
      </c>
      <c r="C113" s="247"/>
      <c r="D113" s="496" t="s">
        <v>744</v>
      </c>
      <c r="E113" s="497" t="s">
        <v>91</v>
      </c>
      <c r="F113" s="498"/>
      <c r="G113" s="498"/>
      <c r="H113" s="498"/>
      <c r="I113" s="498"/>
      <c r="J113" s="498"/>
      <c r="K113" s="498"/>
      <c r="L113" s="498"/>
      <c r="M113" s="498"/>
      <c r="N113" s="498"/>
      <c r="O113" s="498"/>
    </row>
    <row r="114" spans="1:15" s="499" customFormat="1" ht="20.100000000000001" customHeight="1">
      <c r="A114" s="500" t="s">
        <v>745</v>
      </c>
      <c r="B114" s="501" t="s">
        <v>92</v>
      </c>
      <c r="C114" s="247"/>
      <c r="D114" s="502" t="s">
        <v>764</v>
      </c>
      <c r="E114" s="503"/>
      <c r="F114" s="498"/>
      <c r="G114" s="498"/>
      <c r="H114" s="498"/>
      <c r="I114" s="498"/>
      <c r="J114" s="498"/>
      <c r="K114" s="498"/>
      <c r="L114" s="498"/>
      <c r="M114" s="498"/>
      <c r="N114" s="498"/>
      <c r="O114" s="498"/>
    </row>
    <row r="115" spans="1:15" s="499" customFormat="1" ht="20.100000000000001" customHeight="1">
      <c r="A115" s="500" t="s">
        <v>747</v>
      </c>
      <c r="B115" s="501" t="s">
        <v>93</v>
      </c>
      <c r="C115" s="247"/>
      <c r="D115" s="502" t="s">
        <v>756</v>
      </c>
      <c r="E115" s="503"/>
      <c r="F115" s="498"/>
      <c r="G115" s="498"/>
      <c r="H115" s="498"/>
      <c r="I115" s="498"/>
      <c r="J115" s="498"/>
      <c r="K115" s="498"/>
      <c r="L115" s="498"/>
      <c r="M115" s="498"/>
      <c r="N115" s="498"/>
      <c r="O115" s="498"/>
    </row>
    <row r="116" spans="1:15" s="499" customFormat="1" ht="27.75" customHeight="1">
      <c r="A116" s="504" t="s">
        <v>748</v>
      </c>
      <c r="B116" s="501" t="s">
        <v>94</v>
      </c>
      <c r="C116" s="247"/>
      <c r="D116" s="505" t="s">
        <v>749</v>
      </c>
      <c r="E116" s="503"/>
      <c r="F116" s="498"/>
      <c r="G116" s="498"/>
      <c r="H116" s="498"/>
      <c r="I116" s="498"/>
      <c r="J116" s="498"/>
      <c r="K116" s="498"/>
      <c r="L116" s="498"/>
      <c r="M116" s="498"/>
      <c r="N116" s="498"/>
      <c r="O116" s="498"/>
    </row>
    <row r="117" spans="1:15" s="91" customFormat="1" ht="20.100000000000001" customHeight="1">
      <c r="A117" s="288" t="s">
        <v>751</v>
      </c>
      <c r="B117" s="96" t="s">
        <v>459</v>
      </c>
      <c r="C117" s="247"/>
      <c r="D117" s="96" t="s">
        <v>480</v>
      </c>
      <c r="E117" s="289" t="s">
        <v>95</v>
      </c>
      <c r="F117" s="97"/>
      <c r="G117" s="97"/>
      <c r="H117" s="97"/>
      <c r="I117" s="97"/>
      <c r="J117" s="97"/>
      <c r="K117" s="97"/>
      <c r="L117" s="97"/>
      <c r="M117" s="97"/>
      <c r="N117" s="97"/>
      <c r="O117" s="97"/>
    </row>
    <row r="118" spans="1:15" s="91" customFormat="1" ht="20.100000000000001" customHeight="1">
      <c r="A118" s="290" t="s">
        <v>460</v>
      </c>
      <c r="B118" s="98" t="s">
        <v>461</v>
      </c>
      <c r="C118" s="247"/>
      <c r="D118" s="98" t="s">
        <v>481</v>
      </c>
      <c r="E118" s="291" t="s">
        <v>96</v>
      </c>
      <c r="F118" s="97"/>
      <c r="G118" s="97"/>
      <c r="H118" s="97"/>
      <c r="I118" s="97"/>
      <c r="J118" s="97"/>
      <c r="K118" s="97"/>
      <c r="L118" s="97"/>
      <c r="M118" s="97"/>
      <c r="N118" s="97"/>
      <c r="O118" s="97"/>
    </row>
    <row r="119" spans="1:15" s="91" customFormat="1" ht="20.100000000000001" customHeight="1">
      <c r="A119" s="290" t="s">
        <v>483</v>
      </c>
      <c r="B119" s="98" t="s">
        <v>93</v>
      </c>
      <c r="C119" s="247"/>
      <c r="D119" s="292" t="s">
        <v>469</v>
      </c>
      <c r="E119" s="291" t="s">
        <v>462</v>
      </c>
      <c r="F119" s="97"/>
      <c r="G119" s="97"/>
      <c r="H119" s="97"/>
      <c r="I119" s="97"/>
      <c r="J119" s="97"/>
      <c r="K119" s="97"/>
      <c r="L119" s="97"/>
      <c r="M119" s="97"/>
      <c r="N119" s="97"/>
      <c r="O119" s="97"/>
    </row>
    <row r="120" spans="1:15" s="91" customFormat="1" ht="36.75" customHeight="1">
      <c r="A120" s="293" t="s">
        <v>65</v>
      </c>
      <c r="B120" s="98" t="s">
        <v>94</v>
      </c>
      <c r="C120" s="247"/>
      <c r="D120" s="522" t="s">
        <v>463</v>
      </c>
      <c r="E120" s="294"/>
      <c r="F120" s="97"/>
      <c r="G120" s="97"/>
      <c r="H120" s="97"/>
      <c r="I120" s="97"/>
      <c r="J120" s="97"/>
      <c r="K120" s="97"/>
      <c r="L120" s="97"/>
      <c r="M120" s="97"/>
      <c r="N120" s="97"/>
      <c r="O120" s="97"/>
    </row>
    <row r="121" spans="1:15" s="78" customFormat="1" ht="30" customHeight="1">
      <c r="A121" s="326" t="s">
        <v>757</v>
      </c>
      <c r="B121" s="96" t="s">
        <v>97</v>
      </c>
      <c r="C121" s="247"/>
      <c r="D121" s="99" t="s">
        <v>98</v>
      </c>
      <c r="E121" s="289" t="s">
        <v>95</v>
      </c>
    </row>
    <row r="122" spans="1:15" s="78" customFormat="1" ht="28.5" customHeight="1">
      <c r="A122" s="295" t="s">
        <v>330</v>
      </c>
      <c r="B122" s="98" t="s">
        <v>99</v>
      </c>
      <c r="C122" s="247"/>
      <c r="D122" s="98" t="s">
        <v>100</v>
      </c>
      <c r="E122" s="291" t="s">
        <v>96</v>
      </c>
    </row>
    <row r="123" spans="1:15" s="78" customFormat="1" ht="27" customHeight="1">
      <c r="A123" s="382" t="s">
        <v>65</v>
      </c>
      <c r="B123" s="95" t="s">
        <v>101</v>
      </c>
      <c r="C123" s="247"/>
      <c r="D123" s="100"/>
      <c r="E123" s="297" t="s">
        <v>102</v>
      </c>
    </row>
    <row r="124" spans="1:15" s="81" customFormat="1" ht="33.75" customHeight="1">
      <c r="A124" s="627" t="s">
        <v>753</v>
      </c>
      <c r="B124" s="517" t="s">
        <v>62</v>
      </c>
      <c r="C124" s="247"/>
      <c r="D124" s="517" t="s">
        <v>71</v>
      </c>
      <c r="E124" s="519" t="s">
        <v>740</v>
      </c>
    </row>
    <row r="125" spans="1:15" s="81" customFormat="1" ht="33.75" customHeight="1">
      <c r="A125" s="637"/>
      <c r="B125" s="82" t="s">
        <v>72</v>
      </c>
      <c r="C125" s="247"/>
      <c r="D125" s="83"/>
      <c r="E125" s="520"/>
    </row>
    <row r="126" spans="1:15" s="81" customFormat="1" ht="21.75" customHeight="1">
      <c r="A126" s="629" t="s">
        <v>754</v>
      </c>
      <c r="B126" s="84" t="s">
        <v>73</v>
      </c>
      <c r="C126" s="247"/>
      <c r="D126" s="85" t="s">
        <v>74</v>
      </c>
      <c r="E126" s="607" t="s">
        <v>741</v>
      </c>
    </row>
    <row r="127" spans="1:15" s="81" customFormat="1" ht="21.75" customHeight="1">
      <c r="A127" s="629"/>
      <c r="B127" s="101"/>
      <c r="C127" s="247"/>
      <c r="D127" s="102"/>
      <c r="E127" s="608"/>
    </row>
    <row r="128" spans="1:15" s="81" customFormat="1" ht="32.25" customHeight="1">
      <c r="A128" s="630"/>
      <c r="B128" s="86" t="s">
        <v>75</v>
      </c>
      <c r="C128" s="248"/>
      <c r="D128" s="87" t="s">
        <v>76</v>
      </c>
      <c r="E128" s="609"/>
    </row>
    <row r="129" spans="1:15" s="88" customFormat="1" ht="21.95" customHeight="1">
      <c r="A129" s="613" t="s">
        <v>77</v>
      </c>
      <c r="B129" s="615" t="s">
        <v>78</v>
      </c>
      <c r="C129" s="615" t="s">
        <v>79</v>
      </c>
      <c r="D129" s="617" t="s">
        <v>80</v>
      </c>
      <c r="E129" s="619" t="s">
        <v>81</v>
      </c>
    </row>
    <row r="130" spans="1:15" s="88" customFormat="1" ht="18" customHeight="1" thickBot="1">
      <c r="A130" s="614"/>
      <c r="B130" s="616"/>
      <c r="C130" s="616"/>
      <c r="D130" s="618"/>
      <c r="E130" s="620"/>
    </row>
    <row r="131" spans="1:15" s="243" customFormat="1" ht="20.100000000000001" customHeight="1">
      <c r="A131" s="631" t="s">
        <v>42</v>
      </c>
      <c r="B131" s="632"/>
      <c r="C131" s="635" t="s">
        <v>43</v>
      </c>
      <c r="D131" s="635"/>
      <c r="E131" s="299" t="s">
        <v>44</v>
      </c>
    </row>
    <row r="132" spans="1:15" s="243" customFormat="1" ht="20.100000000000001" customHeight="1">
      <c r="A132" s="633"/>
      <c r="B132" s="634"/>
      <c r="C132" s="636"/>
      <c r="D132" s="636"/>
      <c r="E132" s="300" t="s">
        <v>45</v>
      </c>
    </row>
    <row r="133" spans="1:15" s="243" customFormat="1" ht="20.100000000000001" customHeight="1">
      <c r="A133" s="633"/>
      <c r="B133" s="634"/>
      <c r="C133" s="636"/>
      <c r="D133" s="636"/>
      <c r="E133" s="300" t="s">
        <v>46</v>
      </c>
    </row>
    <row r="134" spans="1:15" s="245" customFormat="1" ht="20.25" customHeight="1">
      <c r="A134" s="301" t="s">
        <v>47</v>
      </c>
      <c r="B134" s="61" t="s">
        <v>437</v>
      </c>
      <c r="C134" s="62" t="s">
        <v>48</v>
      </c>
      <c r="D134" s="63" t="s">
        <v>447</v>
      </c>
      <c r="E134" s="610" t="s">
        <v>49</v>
      </c>
    </row>
    <row r="135" spans="1:15" s="245" customFormat="1" ht="20.25" customHeight="1">
      <c r="A135" s="302" t="s">
        <v>50</v>
      </c>
      <c r="B135" s="64">
        <v>252709140196</v>
      </c>
      <c r="C135" s="65" t="s">
        <v>51</v>
      </c>
      <c r="D135" s="66" t="s">
        <v>446</v>
      </c>
      <c r="E135" s="611"/>
    </row>
    <row r="136" spans="1:15" s="245" customFormat="1" ht="20.25" customHeight="1">
      <c r="A136" s="302" t="s">
        <v>52</v>
      </c>
      <c r="B136" s="64" t="s">
        <v>484</v>
      </c>
      <c r="C136" s="65" t="s">
        <v>53</v>
      </c>
      <c r="D136" s="246">
        <v>42010</v>
      </c>
      <c r="E136" s="611"/>
    </row>
    <row r="137" spans="1:15" s="245" customFormat="1" ht="25.5" customHeight="1">
      <c r="A137" s="303" t="s">
        <v>54</v>
      </c>
      <c r="B137" s="208" t="s">
        <v>486</v>
      </c>
      <c r="C137" s="67" t="s">
        <v>56</v>
      </c>
      <c r="D137" s="69" t="s">
        <v>55</v>
      </c>
      <c r="E137" s="612"/>
    </row>
    <row r="138" spans="1:15" s="245" customFormat="1" ht="29.25" customHeight="1">
      <c r="A138" s="304" t="s">
        <v>57</v>
      </c>
      <c r="B138" s="70" t="s">
        <v>58</v>
      </c>
      <c r="C138" s="70" t="s">
        <v>12</v>
      </c>
      <c r="D138" s="70" t="s">
        <v>59</v>
      </c>
      <c r="E138" s="305" t="s">
        <v>60</v>
      </c>
    </row>
    <row r="139" spans="1:15" s="91" customFormat="1" ht="21.75" customHeight="1">
      <c r="A139" s="288" t="s">
        <v>82</v>
      </c>
      <c r="B139" s="89" t="s">
        <v>83</v>
      </c>
      <c r="C139" s="244"/>
      <c r="D139" s="89" t="s">
        <v>302</v>
      </c>
      <c r="E139" s="324" t="s">
        <v>84</v>
      </c>
    </row>
    <row r="140" spans="1:15" s="91" customFormat="1" ht="21.75" customHeight="1">
      <c r="A140" s="621" t="s">
        <v>465</v>
      </c>
      <c r="B140" s="89" t="s">
        <v>85</v>
      </c>
      <c r="C140" s="247"/>
      <c r="D140" s="92" t="s">
        <v>86</v>
      </c>
      <c r="E140" s="325" t="s">
        <v>755</v>
      </c>
    </row>
    <row r="141" spans="1:15" s="91" customFormat="1" ht="21.75" customHeight="1">
      <c r="A141" s="621"/>
      <c r="B141" s="89" t="s">
        <v>292</v>
      </c>
      <c r="C141" s="247"/>
      <c r="D141" s="92" t="s">
        <v>87</v>
      </c>
      <c r="E141" s="325"/>
    </row>
    <row r="142" spans="1:15" s="91" customFormat="1" ht="21.75" customHeight="1">
      <c r="A142" s="621" t="s">
        <v>65</v>
      </c>
      <c r="B142" s="89" t="s">
        <v>88</v>
      </c>
      <c r="C142" s="247"/>
      <c r="D142" s="89" t="s">
        <v>466</v>
      </c>
      <c r="E142" s="325"/>
    </row>
    <row r="143" spans="1:15" s="91" customFormat="1" ht="21.75" customHeight="1">
      <c r="A143" s="622"/>
      <c r="B143" s="94" t="s">
        <v>90</v>
      </c>
      <c r="C143" s="247"/>
      <c r="D143" s="93" t="s">
        <v>89</v>
      </c>
      <c r="E143" s="325"/>
    </row>
    <row r="144" spans="1:15" s="499" customFormat="1" ht="20.100000000000001" customHeight="1">
      <c r="A144" s="494" t="s">
        <v>742</v>
      </c>
      <c r="B144" s="495" t="s">
        <v>743</v>
      </c>
      <c r="C144" s="247"/>
      <c r="D144" s="496" t="s">
        <v>744</v>
      </c>
      <c r="E144" s="497" t="s">
        <v>91</v>
      </c>
      <c r="F144" s="498"/>
      <c r="G144" s="498"/>
      <c r="H144" s="498"/>
      <c r="I144" s="498"/>
      <c r="J144" s="498"/>
      <c r="K144" s="498"/>
      <c r="L144" s="498"/>
      <c r="M144" s="498"/>
      <c r="N144" s="498"/>
      <c r="O144" s="498"/>
    </row>
    <row r="145" spans="1:15" s="499" customFormat="1" ht="20.100000000000001" customHeight="1">
      <c r="A145" s="500" t="s">
        <v>745</v>
      </c>
      <c r="B145" s="501" t="s">
        <v>92</v>
      </c>
      <c r="C145" s="247"/>
      <c r="D145" s="502" t="s">
        <v>762</v>
      </c>
      <c r="E145" s="503"/>
      <c r="F145" s="498"/>
      <c r="G145" s="498"/>
      <c r="H145" s="498"/>
      <c r="I145" s="498"/>
      <c r="J145" s="498"/>
      <c r="K145" s="498"/>
      <c r="L145" s="498"/>
      <c r="M145" s="498"/>
      <c r="N145" s="498"/>
      <c r="O145" s="498"/>
    </row>
    <row r="146" spans="1:15" s="499" customFormat="1" ht="20.100000000000001" customHeight="1">
      <c r="A146" s="500" t="s">
        <v>747</v>
      </c>
      <c r="B146" s="501" t="s">
        <v>93</v>
      </c>
      <c r="C146" s="247"/>
      <c r="D146" s="502" t="s">
        <v>756</v>
      </c>
      <c r="E146" s="503"/>
      <c r="F146" s="498"/>
      <c r="G146" s="498"/>
      <c r="H146" s="498"/>
      <c r="I146" s="498"/>
      <c r="J146" s="498"/>
      <c r="K146" s="498"/>
      <c r="L146" s="498"/>
      <c r="M146" s="498"/>
      <c r="N146" s="498"/>
      <c r="O146" s="498"/>
    </row>
    <row r="147" spans="1:15" s="499" customFormat="1" ht="27.75" customHeight="1">
      <c r="A147" s="504" t="s">
        <v>748</v>
      </c>
      <c r="B147" s="501" t="s">
        <v>94</v>
      </c>
      <c r="C147" s="247"/>
      <c r="D147" s="505" t="s">
        <v>749</v>
      </c>
      <c r="E147" s="503"/>
      <c r="F147" s="498"/>
      <c r="G147" s="498"/>
      <c r="H147" s="498"/>
      <c r="I147" s="498"/>
      <c r="J147" s="498"/>
      <c r="K147" s="498"/>
      <c r="L147" s="498"/>
      <c r="M147" s="498"/>
      <c r="N147" s="498"/>
      <c r="O147" s="498"/>
    </row>
    <row r="148" spans="1:15" s="91" customFormat="1" ht="20.100000000000001" customHeight="1">
      <c r="A148" s="288" t="s">
        <v>751</v>
      </c>
      <c r="B148" s="96" t="s">
        <v>459</v>
      </c>
      <c r="C148" s="247"/>
      <c r="D148" s="96" t="s">
        <v>489</v>
      </c>
      <c r="E148" s="289" t="s">
        <v>95</v>
      </c>
      <c r="F148" s="97"/>
      <c r="G148" s="97"/>
      <c r="H148" s="97"/>
      <c r="I148" s="97"/>
      <c r="J148" s="97"/>
      <c r="K148" s="97"/>
      <c r="L148" s="97"/>
      <c r="M148" s="97"/>
      <c r="N148" s="97"/>
      <c r="O148" s="97"/>
    </row>
    <row r="149" spans="1:15" s="91" customFormat="1" ht="20.100000000000001" customHeight="1">
      <c r="A149" s="290" t="s">
        <v>460</v>
      </c>
      <c r="B149" s="98" t="s">
        <v>461</v>
      </c>
      <c r="C149" s="247"/>
      <c r="D149" s="98" t="s">
        <v>488</v>
      </c>
      <c r="E149" s="291" t="s">
        <v>96</v>
      </c>
      <c r="F149" s="97"/>
      <c r="G149" s="97"/>
      <c r="H149" s="97"/>
      <c r="I149" s="97"/>
      <c r="J149" s="97"/>
      <c r="K149" s="97"/>
      <c r="L149" s="97"/>
      <c r="M149" s="97"/>
      <c r="N149" s="97"/>
      <c r="O149" s="97"/>
    </row>
    <row r="150" spans="1:15" s="91" customFormat="1" ht="20.100000000000001" customHeight="1">
      <c r="A150" s="290" t="s">
        <v>487</v>
      </c>
      <c r="B150" s="98" t="s">
        <v>93</v>
      </c>
      <c r="C150" s="247"/>
      <c r="D150" s="292" t="s">
        <v>469</v>
      </c>
      <c r="E150" s="291" t="s">
        <v>462</v>
      </c>
      <c r="F150" s="97"/>
      <c r="G150" s="97"/>
      <c r="H150" s="97"/>
      <c r="I150" s="97"/>
      <c r="J150" s="97"/>
      <c r="K150" s="97"/>
      <c r="L150" s="97"/>
      <c r="M150" s="97"/>
      <c r="N150" s="97"/>
      <c r="O150" s="97"/>
    </row>
    <row r="151" spans="1:15" s="91" customFormat="1" ht="36.75" customHeight="1">
      <c r="A151" s="293" t="s">
        <v>65</v>
      </c>
      <c r="B151" s="98" t="s">
        <v>94</v>
      </c>
      <c r="C151" s="247"/>
      <c r="D151" s="374" t="s">
        <v>463</v>
      </c>
      <c r="E151" s="294"/>
      <c r="F151" s="97"/>
      <c r="G151" s="97"/>
      <c r="H151" s="97"/>
      <c r="I151" s="97"/>
      <c r="J151" s="97"/>
      <c r="K151" s="97"/>
      <c r="L151" s="97"/>
      <c r="M151" s="97"/>
      <c r="N151" s="97"/>
      <c r="O151" s="97"/>
    </row>
    <row r="152" spans="1:15" s="81" customFormat="1" ht="33.75" customHeight="1">
      <c r="A152" s="627" t="s">
        <v>758</v>
      </c>
      <c r="B152" s="375" t="s">
        <v>62</v>
      </c>
      <c r="C152" s="247"/>
      <c r="D152" s="375" t="s">
        <v>71</v>
      </c>
      <c r="E152" s="319" t="s">
        <v>740</v>
      </c>
    </row>
    <row r="153" spans="1:15" s="81" customFormat="1" ht="33.75" customHeight="1">
      <c r="A153" s="628"/>
      <c r="B153" s="82" t="s">
        <v>72</v>
      </c>
      <c r="C153" s="247"/>
      <c r="D153" s="83"/>
      <c r="E153" s="320"/>
    </row>
    <row r="154" spans="1:15" s="81" customFormat="1" ht="21.75" customHeight="1">
      <c r="A154" s="629" t="s">
        <v>329</v>
      </c>
      <c r="B154" s="84" t="s">
        <v>73</v>
      </c>
      <c r="C154" s="247"/>
      <c r="D154" s="85" t="s">
        <v>74</v>
      </c>
      <c r="E154" s="604" t="s">
        <v>741</v>
      </c>
    </row>
    <row r="155" spans="1:15" s="81" customFormat="1" ht="21.75" customHeight="1">
      <c r="A155" s="629"/>
      <c r="B155" s="101"/>
      <c r="C155" s="247"/>
      <c r="D155" s="102"/>
      <c r="E155" s="605"/>
    </row>
    <row r="156" spans="1:15" s="81" customFormat="1" ht="32.25" customHeight="1">
      <c r="A156" s="630"/>
      <c r="B156" s="86" t="s">
        <v>75</v>
      </c>
      <c r="C156" s="248"/>
      <c r="D156" s="87" t="s">
        <v>76</v>
      </c>
      <c r="E156" s="606"/>
    </row>
    <row r="157" spans="1:15" s="88" customFormat="1" ht="21.95" customHeight="1">
      <c r="A157" s="613" t="s">
        <v>77</v>
      </c>
      <c r="B157" s="615" t="s">
        <v>78</v>
      </c>
      <c r="C157" s="615" t="s">
        <v>79</v>
      </c>
      <c r="D157" s="617" t="s">
        <v>80</v>
      </c>
      <c r="E157" s="619" t="s">
        <v>81</v>
      </c>
    </row>
    <row r="158" spans="1:15" s="88" customFormat="1" ht="18" customHeight="1" thickBot="1">
      <c r="A158" s="614"/>
      <c r="B158" s="616"/>
      <c r="C158" s="616"/>
      <c r="D158" s="618"/>
      <c r="E158" s="620"/>
    </row>
    <row r="159" spans="1:15" s="243" customFormat="1" ht="20.100000000000001" customHeight="1">
      <c r="A159" s="631" t="s">
        <v>42</v>
      </c>
      <c r="B159" s="632"/>
      <c r="C159" s="635" t="s">
        <v>43</v>
      </c>
      <c r="D159" s="635"/>
      <c r="E159" s="299" t="s">
        <v>44</v>
      </c>
    </row>
    <row r="160" spans="1:15" s="243" customFormat="1" ht="20.100000000000001" customHeight="1">
      <c r="A160" s="633"/>
      <c r="B160" s="634"/>
      <c r="C160" s="636"/>
      <c r="D160" s="636"/>
      <c r="E160" s="300" t="s">
        <v>45</v>
      </c>
    </row>
    <row r="161" spans="1:15" s="243" customFormat="1" ht="20.100000000000001" customHeight="1">
      <c r="A161" s="633"/>
      <c r="B161" s="634"/>
      <c r="C161" s="636"/>
      <c r="D161" s="636"/>
      <c r="E161" s="300" t="s">
        <v>46</v>
      </c>
    </row>
    <row r="162" spans="1:15" s="245" customFormat="1" ht="20.25" customHeight="1">
      <c r="A162" s="301" t="s">
        <v>47</v>
      </c>
      <c r="B162" s="61" t="s">
        <v>437</v>
      </c>
      <c r="C162" s="62" t="s">
        <v>48</v>
      </c>
      <c r="D162" s="63" t="s">
        <v>447</v>
      </c>
      <c r="E162" s="610" t="s">
        <v>49</v>
      </c>
    </row>
    <row r="163" spans="1:15" s="245" customFormat="1" ht="20.25" customHeight="1">
      <c r="A163" s="302" t="s">
        <v>50</v>
      </c>
      <c r="B163" s="64">
        <v>252709140196</v>
      </c>
      <c r="C163" s="65" t="s">
        <v>51</v>
      </c>
      <c r="D163" s="66" t="s">
        <v>446</v>
      </c>
      <c r="E163" s="611"/>
    </row>
    <row r="164" spans="1:15" s="245" customFormat="1" ht="20.25" customHeight="1">
      <c r="A164" s="302" t="s">
        <v>52</v>
      </c>
      <c r="B164" s="64" t="s">
        <v>490</v>
      </c>
      <c r="C164" s="65" t="s">
        <v>53</v>
      </c>
      <c r="D164" s="246">
        <v>42010</v>
      </c>
      <c r="E164" s="611"/>
    </row>
    <row r="165" spans="1:15" s="245" customFormat="1" ht="20.25" customHeight="1">
      <c r="A165" s="303" t="s">
        <v>54</v>
      </c>
      <c r="B165" s="208" t="s">
        <v>491</v>
      </c>
      <c r="C165" s="67" t="s">
        <v>56</v>
      </c>
      <c r="D165" s="69" t="s">
        <v>55</v>
      </c>
      <c r="E165" s="612"/>
    </row>
    <row r="166" spans="1:15" s="245" customFormat="1" ht="29.25" customHeight="1">
      <c r="A166" s="304" t="s">
        <v>57</v>
      </c>
      <c r="B166" s="70" t="s">
        <v>58</v>
      </c>
      <c r="C166" s="70" t="s">
        <v>12</v>
      </c>
      <c r="D166" s="70" t="s">
        <v>59</v>
      </c>
      <c r="E166" s="305" t="s">
        <v>60</v>
      </c>
    </row>
    <row r="167" spans="1:15" s="91" customFormat="1" ht="21.75" customHeight="1">
      <c r="A167" s="288" t="s">
        <v>82</v>
      </c>
      <c r="B167" s="89" t="s">
        <v>83</v>
      </c>
      <c r="C167" s="244"/>
      <c r="D167" s="89" t="s">
        <v>496</v>
      </c>
      <c r="E167" s="324" t="s">
        <v>84</v>
      </c>
    </row>
    <row r="168" spans="1:15" s="91" customFormat="1" ht="21.75" customHeight="1">
      <c r="A168" s="621" t="s">
        <v>492</v>
      </c>
      <c r="B168" s="89" t="s">
        <v>85</v>
      </c>
      <c r="C168" s="247"/>
      <c r="D168" s="92" t="s">
        <v>493</v>
      </c>
      <c r="E168" s="325" t="s">
        <v>755</v>
      </c>
    </row>
    <row r="169" spans="1:15" s="91" customFormat="1" ht="21.75" customHeight="1">
      <c r="A169" s="621"/>
      <c r="B169" s="89" t="s">
        <v>292</v>
      </c>
      <c r="C169" s="247"/>
      <c r="D169" s="92" t="s">
        <v>494</v>
      </c>
      <c r="E169" s="325"/>
    </row>
    <row r="170" spans="1:15" s="91" customFormat="1" ht="21.75" customHeight="1">
      <c r="A170" s="621" t="s">
        <v>65</v>
      </c>
      <c r="B170" s="89" t="s">
        <v>88</v>
      </c>
      <c r="C170" s="247"/>
      <c r="D170" s="89" t="s">
        <v>495</v>
      </c>
      <c r="E170" s="325"/>
    </row>
    <row r="171" spans="1:15" s="91" customFormat="1" ht="21.75" customHeight="1">
      <c r="A171" s="622"/>
      <c r="B171" s="94" t="s">
        <v>90</v>
      </c>
      <c r="C171" s="247"/>
      <c r="D171" s="93" t="s">
        <v>89</v>
      </c>
      <c r="E171" s="325"/>
    </row>
    <row r="172" spans="1:15" s="91" customFormat="1" ht="15" customHeight="1">
      <c r="A172" s="326" t="s">
        <v>497</v>
      </c>
      <c r="B172" s="96" t="s">
        <v>498</v>
      </c>
      <c r="C172" s="247"/>
      <c r="D172" s="90" t="s">
        <v>500</v>
      </c>
      <c r="E172" s="324" t="s">
        <v>763</v>
      </c>
      <c r="F172" s="97"/>
      <c r="G172" s="97"/>
      <c r="H172" s="97"/>
      <c r="I172" s="97"/>
      <c r="J172" s="97"/>
      <c r="K172" s="97"/>
      <c r="L172" s="97"/>
      <c r="M172" s="97"/>
      <c r="N172" s="97"/>
      <c r="O172" s="97"/>
    </row>
    <row r="173" spans="1:15" s="91" customFormat="1" ht="15" customHeight="1">
      <c r="A173" s="327" t="s">
        <v>504</v>
      </c>
      <c r="B173" s="98" t="s">
        <v>92</v>
      </c>
      <c r="C173" s="247"/>
      <c r="D173" s="92" t="s">
        <v>501</v>
      </c>
      <c r="E173" s="325"/>
      <c r="F173" s="97"/>
      <c r="G173" s="97"/>
      <c r="H173" s="97"/>
      <c r="I173" s="97"/>
      <c r="J173" s="97"/>
      <c r="K173" s="97"/>
      <c r="L173" s="97"/>
      <c r="M173" s="97"/>
      <c r="N173" s="97"/>
      <c r="O173" s="97"/>
    </row>
    <row r="174" spans="1:15" s="91" customFormat="1" ht="15" customHeight="1">
      <c r="A174" s="327" t="s">
        <v>505</v>
      </c>
      <c r="B174" s="98" t="s">
        <v>499</v>
      </c>
      <c r="C174" s="247"/>
      <c r="D174" s="89" t="s">
        <v>502</v>
      </c>
      <c r="E174" s="325"/>
      <c r="F174" s="97"/>
      <c r="G174" s="97"/>
      <c r="H174" s="97"/>
      <c r="I174" s="97"/>
      <c r="J174" s="97"/>
      <c r="K174" s="97"/>
      <c r="L174" s="97"/>
      <c r="M174" s="97"/>
      <c r="N174" s="97"/>
      <c r="O174" s="97"/>
    </row>
    <row r="175" spans="1:15" s="91" customFormat="1" ht="26.25" customHeight="1">
      <c r="A175" s="293" t="s">
        <v>506</v>
      </c>
      <c r="B175" s="98"/>
      <c r="C175" s="247"/>
      <c r="D175" s="93" t="s">
        <v>503</v>
      </c>
      <c r="E175" s="325"/>
      <c r="F175" s="97"/>
      <c r="G175" s="97"/>
      <c r="H175" s="97"/>
      <c r="I175" s="97"/>
      <c r="J175" s="97"/>
      <c r="K175" s="97"/>
      <c r="L175" s="97"/>
      <c r="M175" s="97"/>
      <c r="N175" s="97"/>
      <c r="O175" s="97"/>
    </row>
    <row r="176" spans="1:15" s="91" customFormat="1" ht="15" customHeight="1">
      <c r="A176" s="326" t="s">
        <v>507</v>
      </c>
      <c r="B176" s="96" t="s">
        <v>518</v>
      </c>
      <c r="C176" s="247"/>
      <c r="D176" s="90" t="s">
        <v>512</v>
      </c>
      <c r="E176" s="324" t="s">
        <v>763</v>
      </c>
      <c r="F176" s="97"/>
      <c r="G176" s="97"/>
      <c r="H176" s="97"/>
      <c r="I176" s="97"/>
      <c r="J176" s="97"/>
      <c r="K176" s="97"/>
      <c r="L176" s="97"/>
      <c r="M176" s="97"/>
      <c r="N176" s="97"/>
      <c r="O176" s="97"/>
    </row>
    <row r="177" spans="1:15" s="91" customFormat="1" ht="15" customHeight="1">
      <c r="A177" s="327" t="s">
        <v>508</v>
      </c>
      <c r="B177" s="98" t="s">
        <v>92</v>
      </c>
      <c r="C177" s="247"/>
      <c r="D177" s="92" t="s">
        <v>513</v>
      </c>
      <c r="E177" s="325" t="s">
        <v>514</v>
      </c>
      <c r="F177" s="97"/>
      <c r="G177" s="97"/>
      <c r="H177" s="97"/>
      <c r="I177" s="97"/>
      <c r="J177" s="97"/>
      <c r="K177" s="97"/>
      <c r="L177" s="97"/>
      <c r="M177" s="97"/>
      <c r="N177" s="97"/>
      <c r="O177" s="97"/>
    </row>
    <row r="178" spans="1:15" s="91" customFormat="1" ht="15" customHeight="1">
      <c r="A178" s="327" t="s">
        <v>509</v>
      </c>
      <c r="B178" s="98" t="s">
        <v>510</v>
      </c>
      <c r="C178" s="247"/>
      <c r="D178" s="625" t="s">
        <v>511</v>
      </c>
      <c r="E178" s="325"/>
      <c r="F178" s="97"/>
      <c r="G178" s="97"/>
      <c r="H178" s="97"/>
      <c r="I178" s="97"/>
      <c r="J178" s="97"/>
      <c r="K178" s="97"/>
      <c r="L178" s="97"/>
      <c r="M178" s="97"/>
      <c r="N178" s="97"/>
      <c r="O178" s="97"/>
    </row>
    <row r="179" spans="1:15" s="91" customFormat="1" ht="26.25" customHeight="1">
      <c r="A179" s="293" t="s">
        <v>506</v>
      </c>
      <c r="B179" s="98"/>
      <c r="C179" s="247"/>
      <c r="D179" s="626"/>
      <c r="E179" s="325"/>
      <c r="F179" s="97"/>
      <c r="G179" s="97"/>
      <c r="H179" s="97"/>
      <c r="I179" s="97"/>
      <c r="J179" s="97"/>
      <c r="K179" s="97"/>
      <c r="L179" s="97"/>
      <c r="M179" s="97"/>
      <c r="N179" s="97"/>
      <c r="O179" s="97"/>
    </row>
    <row r="180" spans="1:15" s="81" customFormat="1" ht="33.75" customHeight="1">
      <c r="A180" s="328" t="s">
        <v>515</v>
      </c>
      <c r="B180" s="375" t="s">
        <v>62</v>
      </c>
      <c r="C180" s="247"/>
      <c r="D180" s="375" t="s">
        <v>71</v>
      </c>
      <c r="E180" s="319" t="s">
        <v>740</v>
      </c>
    </row>
    <row r="181" spans="1:15" s="81" customFormat="1" ht="33.75" customHeight="1">
      <c r="A181" s="293" t="s">
        <v>516</v>
      </c>
      <c r="B181" s="82" t="s">
        <v>72</v>
      </c>
      <c r="C181" s="247"/>
      <c r="D181" s="83"/>
      <c r="E181" s="320"/>
    </row>
    <row r="182" spans="1:15" s="81" customFormat="1" ht="21.75" customHeight="1">
      <c r="A182" s="623" t="s">
        <v>517</v>
      </c>
      <c r="B182" s="84" t="s">
        <v>73</v>
      </c>
      <c r="C182" s="247"/>
      <c r="D182" s="85" t="s">
        <v>74</v>
      </c>
      <c r="E182" s="604" t="s">
        <v>741</v>
      </c>
    </row>
    <row r="183" spans="1:15" s="81" customFormat="1" ht="21.75" customHeight="1">
      <c r="A183" s="623"/>
      <c r="B183" s="101"/>
      <c r="C183" s="247"/>
      <c r="D183" s="102"/>
      <c r="E183" s="605"/>
    </row>
    <row r="184" spans="1:15" s="81" customFormat="1" ht="32.25" customHeight="1">
      <c r="A184" s="624"/>
      <c r="B184" s="86" t="s">
        <v>75</v>
      </c>
      <c r="C184" s="248"/>
      <c r="D184" s="87" t="s">
        <v>76</v>
      </c>
      <c r="E184" s="606"/>
    </row>
    <row r="185" spans="1:15" s="88" customFormat="1" ht="21.95" customHeight="1">
      <c r="A185" s="613" t="s">
        <v>77</v>
      </c>
      <c r="B185" s="615" t="s">
        <v>78</v>
      </c>
      <c r="C185" s="615" t="s">
        <v>79</v>
      </c>
      <c r="D185" s="617" t="s">
        <v>80</v>
      </c>
      <c r="E185" s="619" t="s">
        <v>81</v>
      </c>
    </row>
    <row r="186" spans="1:15" s="88" customFormat="1" ht="18" customHeight="1" thickBot="1">
      <c r="A186" s="614"/>
      <c r="B186" s="616"/>
      <c r="C186" s="616"/>
      <c r="D186" s="618"/>
      <c r="E186" s="620"/>
    </row>
    <row r="187" spans="1:15" s="243" customFormat="1" ht="20.100000000000001" customHeight="1">
      <c r="A187" s="631" t="s">
        <v>42</v>
      </c>
      <c r="B187" s="632"/>
      <c r="C187" s="635" t="s">
        <v>43</v>
      </c>
      <c r="D187" s="635"/>
      <c r="E187" s="299" t="s">
        <v>44</v>
      </c>
    </row>
    <row r="188" spans="1:15" s="243" customFormat="1" ht="20.100000000000001" customHeight="1">
      <c r="A188" s="633"/>
      <c r="B188" s="634"/>
      <c r="C188" s="636"/>
      <c r="D188" s="636"/>
      <c r="E188" s="300" t="s">
        <v>45</v>
      </c>
    </row>
    <row r="189" spans="1:15" s="243" customFormat="1" ht="20.100000000000001" customHeight="1">
      <c r="A189" s="633"/>
      <c r="B189" s="634"/>
      <c r="C189" s="636"/>
      <c r="D189" s="636"/>
      <c r="E189" s="300" t="s">
        <v>46</v>
      </c>
    </row>
    <row r="190" spans="1:15" s="245" customFormat="1" ht="20.25" customHeight="1">
      <c r="A190" s="301" t="s">
        <v>47</v>
      </c>
      <c r="B190" s="61" t="s">
        <v>437</v>
      </c>
      <c r="C190" s="62" t="s">
        <v>48</v>
      </c>
      <c r="D190" s="63" t="s">
        <v>447</v>
      </c>
      <c r="E190" s="610" t="s">
        <v>49</v>
      </c>
    </row>
    <row r="191" spans="1:15" s="245" customFormat="1" ht="20.25" customHeight="1">
      <c r="A191" s="302" t="s">
        <v>50</v>
      </c>
      <c r="B191" s="64">
        <v>252709140196</v>
      </c>
      <c r="C191" s="65" t="s">
        <v>51</v>
      </c>
      <c r="D191" s="66" t="s">
        <v>446</v>
      </c>
      <c r="E191" s="611"/>
    </row>
    <row r="192" spans="1:15" s="245" customFormat="1" ht="20.25" customHeight="1">
      <c r="A192" s="302" t="s">
        <v>52</v>
      </c>
      <c r="B192" s="64" t="s">
        <v>519</v>
      </c>
      <c r="C192" s="65" t="s">
        <v>53</v>
      </c>
      <c r="D192" s="246">
        <v>42010</v>
      </c>
      <c r="E192" s="611"/>
    </row>
    <row r="193" spans="1:15" s="245" customFormat="1" ht="25.5" customHeight="1">
      <c r="A193" s="303" t="s">
        <v>54</v>
      </c>
      <c r="B193" s="208" t="s">
        <v>520</v>
      </c>
      <c r="C193" s="67" t="s">
        <v>56</v>
      </c>
      <c r="D193" s="69" t="s">
        <v>55</v>
      </c>
      <c r="E193" s="612"/>
    </row>
    <row r="194" spans="1:15" s="245" customFormat="1" ht="29.25" customHeight="1">
      <c r="A194" s="304" t="s">
        <v>57</v>
      </c>
      <c r="B194" s="70" t="s">
        <v>58</v>
      </c>
      <c r="C194" s="70" t="s">
        <v>12</v>
      </c>
      <c r="D194" s="70" t="s">
        <v>59</v>
      </c>
      <c r="E194" s="305" t="s">
        <v>60</v>
      </c>
    </row>
    <row r="195" spans="1:15" s="91" customFormat="1" ht="21.75" customHeight="1">
      <c r="A195" s="288" t="s">
        <v>82</v>
      </c>
      <c r="B195" s="89" t="s">
        <v>83</v>
      </c>
      <c r="C195" s="244"/>
      <c r="D195" s="89" t="s">
        <v>302</v>
      </c>
      <c r="E195" s="324" t="s">
        <v>84</v>
      </c>
    </row>
    <row r="196" spans="1:15" s="91" customFormat="1" ht="21.75" customHeight="1">
      <c r="A196" s="621" t="s">
        <v>521</v>
      </c>
      <c r="B196" s="89" t="s">
        <v>85</v>
      </c>
      <c r="C196" s="247"/>
      <c r="D196" s="92" t="s">
        <v>86</v>
      </c>
      <c r="E196" s="325" t="s">
        <v>755</v>
      </c>
    </row>
    <row r="197" spans="1:15" s="91" customFormat="1" ht="21.75" customHeight="1">
      <c r="A197" s="621"/>
      <c r="B197" s="89" t="s">
        <v>292</v>
      </c>
      <c r="C197" s="247"/>
      <c r="D197" s="92" t="s">
        <v>87</v>
      </c>
      <c r="E197" s="325"/>
    </row>
    <row r="198" spans="1:15" s="91" customFormat="1" ht="21.75" customHeight="1">
      <c r="A198" s="621" t="s">
        <v>65</v>
      </c>
      <c r="B198" s="89" t="s">
        <v>88</v>
      </c>
      <c r="C198" s="247"/>
      <c r="D198" s="89" t="s">
        <v>522</v>
      </c>
      <c r="E198" s="325"/>
    </row>
    <row r="199" spans="1:15" s="91" customFormat="1" ht="21.75" customHeight="1">
      <c r="A199" s="622"/>
      <c r="B199" s="94" t="s">
        <v>90</v>
      </c>
      <c r="C199" s="247"/>
      <c r="D199" s="93" t="s">
        <v>89</v>
      </c>
      <c r="E199" s="325"/>
    </row>
    <row r="200" spans="1:15" s="499" customFormat="1" ht="20.100000000000001" customHeight="1">
      <c r="A200" s="494" t="s">
        <v>742</v>
      </c>
      <c r="B200" s="495" t="s">
        <v>743</v>
      </c>
      <c r="C200" s="247"/>
      <c r="D200" s="496" t="s">
        <v>744</v>
      </c>
      <c r="E200" s="497" t="s">
        <v>91</v>
      </c>
      <c r="F200" s="498"/>
      <c r="G200" s="498"/>
      <c r="H200" s="498"/>
      <c r="I200" s="498"/>
      <c r="J200" s="498"/>
      <c r="K200" s="498"/>
      <c r="L200" s="498"/>
      <c r="M200" s="498"/>
      <c r="N200" s="498"/>
      <c r="O200" s="498"/>
    </row>
    <row r="201" spans="1:15" s="499" customFormat="1" ht="20.100000000000001" customHeight="1">
      <c r="A201" s="500" t="s">
        <v>745</v>
      </c>
      <c r="B201" s="501" t="s">
        <v>92</v>
      </c>
      <c r="C201" s="247"/>
      <c r="D201" s="502" t="s">
        <v>766</v>
      </c>
      <c r="E201" s="503"/>
      <c r="F201" s="498"/>
      <c r="G201" s="498"/>
      <c r="H201" s="498"/>
      <c r="I201" s="498"/>
      <c r="J201" s="498"/>
      <c r="K201" s="498"/>
      <c r="L201" s="498"/>
      <c r="M201" s="498"/>
      <c r="N201" s="498"/>
      <c r="O201" s="498"/>
    </row>
    <row r="202" spans="1:15" s="499" customFormat="1" ht="20.100000000000001" customHeight="1">
      <c r="A202" s="500" t="s">
        <v>747</v>
      </c>
      <c r="B202" s="501" t="s">
        <v>93</v>
      </c>
      <c r="C202" s="247"/>
      <c r="D202" s="502" t="s">
        <v>765</v>
      </c>
      <c r="E202" s="503"/>
      <c r="F202" s="498"/>
      <c r="G202" s="498"/>
      <c r="H202" s="498"/>
      <c r="I202" s="498"/>
      <c r="J202" s="498"/>
      <c r="K202" s="498"/>
      <c r="L202" s="498"/>
      <c r="M202" s="498"/>
      <c r="N202" s="498"/>
      <c r="O202" s="498"/>
    </row>
    <row r="203" spans="1:15" s="499" customFormat="1" ht="27.75" customHeight="1">
      <c r="A203" s="504" t="s">
        <v>748</v>
      </c>
      <c r="B203" s="501" t="s">
        <v>94</v>
      </c>
      <c r="C203" s="247"/>
      <c r="D203" s="505" t="s">
        <v>749</v>
      </c>
      <c r="E203" s="503"/>
      <c r="F203" s="498"/>
      <c r="G203" s="498"/>
      <c r="H203" s="498"/>
      <c r="I203" s="498"/>
      <c r="J203" s="498"/>
      <c r="K203" s="498"/>
      <c r="L203" s="498"/>
      <c r="M203" s="498"/>
      <c r="N203" s="498"/>
      <c r="O203" s="498"/>
    </row>
    <row r="204" spans="1:15" s="91" customFormat="1" ht="20.100000000000001" customHeight="1">
      <c r="A204" s="288" t="s">
        <v>751</v>
      </c>
      <c r="B204" s="96" t="s">
        <v>459</v>
      </c>
      <c r="C204" s="247"/>
      <c r="D204" s="96" t="s">
        <v>767</v>
      </c>
      <c r="E204" s="289" t="s">
        <v>95</v>
      </c>
      <c r="F204" s="97"/>
      <c r="G204" s="97"/>
      <c r="H204" s="97"/>
      <c r="I204" s="97"/>
      <c r="J204" s="97"/>
      <c r="K204" s="97"/>
      <c r="L204" s="97"/>
      <c r="M204" s="97"/>
      <c r="N204" s="97"/>
      <c r="O204" s="97"/>
    </row>
    <row r="205" spans="1:15" s="91" customFormat="1" ht="20.100000000000001" customHeight="1">
      <c r="A205" s="290" t="s">
        <v>460</v>
      </c>
      <c r="B205" s="98" t="s">
        <v>461</v>
      </c>
      <c r="C205" s="247"/>
      <c r="D205" s="98" t="s">
        <v>768</v>
      </c>
      <c r="E205" s="291" t="s">
        <v>96</v>
      </c>
      <c r="F205" s="97"/>
      <c r="G205" s="97"/>
      <c r="H205" s="97"/>
      <c r="I205" s="97"/>
      <c r="J205" s="97"/>
      <c r="K205" s="97"/>
      <c r="L205" s="97"/>
      <c r="M205" s="97"/>
      <c r="N205" s="97"/>
      <c r="O205" s="97"/>
    </row>
    <row r="206" spans="1:15" s="91" customFormat="1" ht="20.100000000000001" customHeight="1">
      <c r="A206" s="290" t="s">
        <v>524</v>
      </c>
      <c r="B206" s="98" t="s">
        <v>93</v>
      </c>
      <c r="C206" s="247"/>
      <c r="D206" s="292" t="s">
        <v>523</v>
      </c>
      <c r="E206" s="291" t="s">
        <v>462</v>
      </c>
      <c r="F206" s="97"/>
      <c r="G206" s="97"/>
      <c r="H206" s="97"/>
      <c r="I206" s="97"/>
      <c r="J206" s="97"/>
      <c r="K206" s="97"/>
      <c r="L206" s="97"/>
      <c r="M206" s="97"/>
      <c r="N206" s="97"/>
      <c r="O206" s="97"/>
    </row>
    <row r="207" spans="1:15" s="91" customFormat="1" ht="36.75" customHeight="1">
      <c r="A207" s="293" t="s">
        <v>65</v>
      </c>
      <c r="B207" s="98" t="s">
        <v>94</v>
      </c>
      <c r="C207" s="247"/>
      <c r="D207" s="374" t="s">
        <v>463</v>
      </c>
      <c r="E207" s="294"/>
      <c r="F207" s="97"/>
      <c r="G207" s="97"/>
      <c r="H207" s="97"/>
      <c r="I207" s="97"/>
      <c r="J207" s="97"/>
      <c r="K207" s="97"/>
      <c r="L207" s="97"/>
      <c r="M207" s="97"/>
      <c r="N207" s="97"/>
      <c r="O207" s="97"/>
    </row>
    <row r="208" spans="1:15" s="81" customFormat="1" ht="33.75" customHeight="1">
      <c r="A208" s="627" t="s">
        <v>758</v>
      </c>
      <c r="B208" s="375" t="s">
        <v>62</v>
      </c>
      <c r="C208" s="247"/>
      <c r="D208" s="375" t="s">
        <v>71</v>
      </c>
      <c r="E208" s="319" t="s">
        <v>740</v>
      </c>
    </row>
    <row r="209" spans="1:5" s="81" customFormat="1" ht="33.75" customHeight="1">
      <c r="A209" s="628"/>
      <c r="B209" s="82" t="s">
        <v>72</v>
      </c>
      <c r="C209" s="247"/>
      <c r="D209" s="83"/>
      <c r="E209" s="320"/>
    </row>
    <row r="210" spans="1:5" s="81" customFormat="1" ht="21.75" customHeight="1">
      <c r="A210" s="629" t="s">
        <v>329</v>
      </c>
      <c r="B210" s="84" t="s">
        <v>73</v>
      </c>
      <c r="C210" s="247"/>
      <c r="D210" s="85" t="s">
        <v>74</v>
      </c>
      <c r="E210" s="604" t="s">
        <v>741</v>
      </c>
    </row>
    <row r="211" spans="1:5" s="81" customFormat="1" ht="21.75" customHeight="1">
      <c r="A211" s="629"/>
      <c r="B211" s="101"/>
      <c r="C211" s="247"/>
      <c r="D211" s="102"/>
      <c r="E211" s="605"/>
    </row>
    <row r="212" spans="1:5" s="81" customFormat="1" ht="32.25" customHeight="1">
      <c r="A212" s="630"/>
      <c r="B212" s="86" t="s">
        <v>75</v>
      </c>
      <c r="C212" s="248"/>
      <c r="D212" s="87" t="s">
        <v>76</v>
      </c>
      <c r="E212" s="606"/>
    </row>
    <row r="213" spans="1:5" s="88" customFormat="1" ht="21.95" customHeight="1">
      <c r="A213" s="613" t="s">
        <v>77</v>
      </c>
      <c r="B213" s="615" t="s">
        <v>78</v>
      </c>
      <c r="C213" s="615" t="s">
        <v>79</v>
      </c>
      <c r="D213" s="617" t="s">
        <v>80</v>
      </c>
      <c r="E213" s="619" t="s">
        <v>81</v>
      </c>
    </row>
    <row r="214" spans="1:5" s="88" customFormat="1" ht="18" customHeight="1" thickBot="1">
      <c r="A214" s="614"/>
      <c r="B214" s="616"/>
      <c r="C214" s="616"/>
      <c r="D214" s="618"/>
      <c r="E214" s="620"/>
    </row>
  </sheetData>
  <mergeCells count="96">
    <mergeCell ref="A23:A24"/>
    <mergeCell ref="D18:D19"/>
    <mergeCell ref="A19:A20"/>
    <mergeCell ref="E18:E19"/>
    <mergeCell ref="A1:B3"/>
    <mergeCell ref="C1:D3"/>
    <mergeCell ref="E4:E7"/>
    <mergeCell ref="A13:A14"/>
    <mergeCell ref="A16:A17"/>
    <mergeCell ref="A27:A28"/>
    <mergeCell ref="A30:A31"/>
    <mergeCell ref="A38:B40"/>
    <mergeCell ref="C38:D40"/>
    <mergeCell ref="E41:E44"/>
    <mergeCell ref="E36:E37"/>
    <mergeCell ref="A32:A33"/>
    <mergeCell ref="D34:D35"/>
    <mergeCell ref="A36:A37"/>
    <mergeCell ref="B36:B37"/>
    <mergeCell ref="C36:C37"/>
    <mergeCell ref="D36:D37"/>
    <mergeCell ref="A47:A48"/>
    <mergeCell ref="A49:A50"/>
    <mergeCell ref="A95:A97"/>
    <mergeCell ref="A98:A99"/>
    <mergeCell ref="C67:C68"/>
    <mergeCell ref="A78:A79"/>
    <mergeCell ref="A80:A81"/>
    <mergeCell ref="A93:A94"/>
    <mergeCell ref="A62:A63"/>
    <mergeCell ref="A64:A66"/>
    <mergeCell ref="A67:A68"/>
    <mergeCell ref="D67:D68"/>
    <mergeCell ref="E67:E68"/>
    <mergeCell ref="B98:B99"/>
    <mergeCell ref="C98:C99"/>
    <mergeCell ref="D98:D99"/>
    <mergeCell ref="E98:E99"/>
    <mergeCell ref="C69:D71"/>
    <mergeCell ref="E72:E75"/>
    <mergeCell ref="B67:B68"/>
    <mergeCell ref="A69:B71"/>
    <mergeCell ref="A100:B102"/>
    <mergeCell ref="C100:D102"/>
    <mergeCell ref="A124:A125"/>
    <mergeCell ref="C129:C130"/>
    <mergeCell ref="D129:D130"/>
    <mergeCell ref="A168:A169"/>
    <mergeCell ref="E157:E158"/>
    <mergeCell ref="E103:E106"/>
    <mergeCell ref="A109:A110"/>
    <mergeCell ref="A111:A112"/>
    <mergeCell ref="A126:A128"/>
    <mergeCell ref="A129:A130"/>
    <mergeCell ref="B129:B130"/>
    <mergeCell ref="A154:A156"/>
    <mergeCell ref="A157:A158"/>
    <mergeCell ref="B157:B158"/>
    <mergeCell ref="C157:C158"/>
    <mergeCell ref="D157:D158"/>
    <mergeCell ref="E129:E130"/>
    <mergeCell ref="A131:B133"/>
    <mergeCell ref="C131:D133"/>
    <mergeCell ref="A140:A141"/>
    <mergeCell ref="A142:A143"/>
    <mergeCell ref="A152:A153"/>
    <mergeCell ref="A159:B161"/>
    <mergeCell ref="C159:D161"/>
    <mergeCell ref="A208:A209"/>
    <mergeCell ref="A210:A212"/>
    <mergeCell ref="C185:C186"/>
    <mergeCell ref="D185:D186"/>
    <mergeCell ref="E185:E186"/>
    <mergeCell ref="A187:B189"/>
    <mergeCell ref="C187:D189"/>
    <mergeCell ref="E190:E193"/>
    <mergeCell ref="A196:A197"/>
    <mergeCell ref="A198:A199"/>
    <mergeCell ref="E210:E212"/>
    <mergeCell ref="A170:A171"/>
    <mergeCell ref="A182:A184"/>
    <mergeCell ref="A185:A186"/>
    <mergeCell ref="B185:B186"/>
    <mergeCell ref="D178:D179"/>
    <mergeCell ref="A213:A214"/>
    <mergeCell ref="B213:B214"/>
    <mergeCell ref="C213:C214"/>
    <mergeCell ref="D213:D214"/>
    <mergeCell ref="E213:E214"/>
    <mergeCell ref="E64:E66"/>
    <mergeCell ref="E95:E97"/>
    <mergeCell ref="E126:E128"/>
    <mergeCell ref="E154:E156"/>
    <mergeCell ref="E182:E184"/>
    <mergeCell ref="E162:E165"/>
    <mergeCell ref="E134:E137"/>
  </mergeCells>
  <printOptions horizontalCentered="1"/>
  <pageMargins left="0.118110236220472" right="0.118110236220472" top="0.11811023599999999" bottom="0.118110236220472" header="0.511811023622047" footer="0.118110236220472"/>
  <pageSetup paperSize="9" scale="65" orientation="portrait" r:id="rId1"/>
  <headerFooter alignWithMargins="0">
    <oddFooter>&amp;C&amp;P</oddFooter>
  </headerFooter>
  <rowBreaks count="6" manualBreakCount="6">
    <brk id="37" max="16383" man="1"/>
    <brk id="68" max="16383" man="1"/>
    <brk id="99" max="16383" man="1"/>
    <brk id="130" max="16383" man="1"/>
    <brk id="158" max="16383" man="1"/>
    <brk id="186" max="16383" man="1"/>
  </rowBreaks>
  <drawing r:id="rId2"/>
  <legacyDrawing r:id="rId3"/>
  <oleObjects>
    <oleObject progId="ZWCAD.Drawing.2012" shapeId="14337" r:id="rId4"/>
    <oleObject progId="ZWCAD.Drawing.2012" shapeId="14339" r:id="rId5"/>
    <oleObject progId="ZWCAD.Drawing.2012" shapeId="14340" r:id="rId6"/>
    <oleObject progId="ZWCAD.Drawing.2012" shapeId="14341" r:id="rId7"/>
    <oleObject progId="ZWCAD.Drawing.2012" shapeId="14342" r:id="rId8"/>
    <oleObject progId="ZWCAD.Drawing.2012" shapeId="14343" r:id="rId9"/>
  </oleObjects>
</worksheet>
</file>

<file path=xl/worksheets/sheet5.xml><?xml version="1.0" encoding="utf-8"?>
<worksheet xmlns="http://schemas.openxmlformats.org/spreadsheetml/2006/main" xmlns:r="http://schemas.openxmlformats.org/officeDocument/2006/relationships">
  <dimension ref="A1:IV101"/>
  <sheetViews>
    <sheetView tabSelected="1" view="pageBreakPreview" zoomScale="50" zoomScaleNormal="69" zoomScaleSheetLayoutView="50" workbookViewId="0">
      <selection activeCell="F101" sqref="F101"/>
    </sheetView>
  </sheetViews>
  <sheetFormatPr defaultRowHeight="20.25"/>
  <cols>
    <col min="1" max="1" width="16.85546875" style="104" customWidth="1"/>
    <col min="2" max="2" width="29.85546875" style="104" customWidth="1"/>
    <col min="3" max="3" width="30.85546875" style="104" customWidth="1"/>
    <col min="4" max="4" width="28.28515625" style="104" customWidth="1"/>
    <col min="5" max="5" width="32.5703125" style="104" customWidth="1"/>
    <col min="6" max="6" width="8.42578125" style="104" customWidth="1"/>
    <col min="7" max="7" width="7.5703125" style="104" customWidth="1"/>
    <col min="8" max="8" width="32" style="104" customWidth="1"/>
    <col min="9" max="9" width="26" style="104" customWidth="1"/>
    <col min="10" max="10" width="8" style="104" customWidth="1"/>
    <col min="11" max="11" width="25" style="104" customWidth="1"/>
    <col min="12" max="12" width="8.140625" style="124" customWidth="1"/>
    <col min="13" max="13" width="8.140625" style="104" customWidth="1"/>
    <col min="14" max="14" width="10.85546875" style="104" customWidth="1"/>
    <col min="15" max="15" width="17" style="104" customWidth="1"/>
    <col min="16" max="16" width="31.42578125" style="104" customWidth="1"/>
    <col min="17" max="18" width="20.7109375" style="104" customWidth="1"/>
    <col min="19" max="20" width="8.42578125" style="104" customWidth="1"/>
    <col min="21" max="21" width="11.7109375" style="104" customWidth="1"/>
    <col min="22" max="256" width="9.140625" style="104"/>
    <col min="257" max="257" width="11.140625" style="104" customWidth="1"/>
    <col min="258" max="258" width="26.140625" style="104" customWidth="1"/>
    <col min="259" max="259" width="25.42578125" style="104" customWidth="1"/>
    <col min="260" max="260" width="26.28515625" style="104" customWidth="1"/>
    <col min="261" max="261" width="32.5703125" style="104" customWidth="1"/>
    <col min="262" max="262" width="8.42578125" style="104" customWidth="1"/>
    <col min="263" max="263" width="7.5703125" style="104" customWidth="1"/>
    <col min="264" max="264" width="32" style="104" customWidth="1"/>
    <col min="265" max="265" width="26" style="104" customWidth="1"/>
    <col min="266" max="266" width="8" style="104" customWidth="1"/>
    <col min="267" max="267" width="25" style="104" customWidth="1"/>
    <col min="268" max="269" width="8.140625" style="104" customWidth="1"/>
    <col min="270" max="270" width="10.85546875" style="104" customWidth="1"/>
    <col min="271" max="271" width="8.42578125" style="104" customWidth="1"/>
    <col min="272" max="272" width="26.5703125" style="104" customWidth="1"/>
    <col min="273" max="274" width="20.7109375" style="104" customWidth="1"/>
    <col min="275" max="276" width="6.7109375" style="104" customWidth="1"/>
    <col min="277" max="277" width="11.7109375" style="104" customWidth="1"/>
    <col min="278" max="512" width="9.140625" style="104"/>
    <col min="513" max="513" width="11.140625" style="104" customWidth="1"/>
    <col min="514" max="514" width="26.140625" style="104" customWidth="1"/>
    <col min="515" max="515" width="25.42578125" style="104" customWidth="1"/>
    <col min="516" max="516" width="26.28515625" style="104" customWidth="1"/>
    <col min="517" max="517" width="32.5703125" style="104" customWidth="1"/>
    <col min="518" max="518" width="8.42578125" style="104" customWidth="1"/>
    <col min="519" max="519" width="7.5703125" style="104" customWidth="1"/>
    <col min="520" max="520" width="32" style="104" customWidth="1"/>
    <col min="521" max="521" width="26" style="104" customWidth="1"/>
    <col min="522" max="522" width="8" style="104" customWidth="1"/>
    <col min="523" max="523" width="25" style="104" customWidth="1"/>
    <col min="524" max="525" width="8.140625" style="104" customWidth="1"/>
    <col min="526" max="526" width="10.85546875" style="104" customWidth="1"/>
    <col min="527" max="527" width="8.42578125" style="104" customWidth="1"/>
    <col min="528" max="528" width="26.5703125" style="104" customWidth="1"/>
    <col min="529" max="530" width="20.7109375" style="104" customWidth="1"/>
    <col min="531" max="532" width="6.7109375" style="104" customWidth="1"/>
    <col min="533" max="533" width="11.7109375" style="104" customWidth="1"/>
    <col min="534" max="768" width="9.140625" style="104"/>
    <col min="769" max="769" width="11.140625" style="104" customWidth="1"/>
    <col min="770" max="770" width="26.140625" style="104" customWidth="1"/>
    <col min="771" max="771" width="25.42578125" style="104" customWidth="1"/>
    <col min="772" max="772" width="26.28515625" style="104" customWidth="1"/>
    <col min="773" max="773" width="32.5703125" style="104" customWidth="1"/>
    <col min="774" max="774" width="8.42578125" style="104" customWidth="1"/>
    <col min="775" max="775" width="7.5703125" style="104" customWidth="1"/>
    <col min="776" max="776" width="32" style="104" customWidth="1"/>
    <col min="777" max="777" width="26" style="104" customWidth="1"/>
    <col min="778" max="778" width="8" style="104" customWidth="1"/>
    <col min="779" max="779" width="25" style="104" customWidth="1"/>
    <col min="780" max="781" width="8.140625" style="104" customWidth="1"/>
    <col min="782" max="782" width="10.85546875" style="104" customWidth="1"/>
    <col min="783" max="783" width="8.42578125" style="104" customWidth="1"/>
    <col min="784" max="784" width="26.5703125" style="104" customWidth="1"/>
    <col min="785" max="786" width="20.7109375" style="104" customWidth="1"/>
    <col min="787" max="788" width="6.7109375" style="104" customWidth="1"/>
    <col min="789" max="789" width="11.7109375" style="104" customWidth="1"/>
    <col min="790" max="1024" width="9.140625" style="104"/>
    <col min="1025" max="1025" width="11.140625" style="104" customWidth="1"/>
    <col min="1026" max="1026" width="26.140625" style="104" customWidth="1"/>
    <col min="1027" max="1027" width="25.42578125" style="104" customWidth="1"/>
    <col min="1028" max="1028" width="26.28515625" style="104" customWidth="1"/>
    <col min="1029" max="1029" width="32.5703125" style="104" customWidth="1"/>
    <col min="1030" max="1030" width="8.42578125" style="104" customWidth="1"/>
    <col min="1031" max="1031" width="7.5703125" style="104" customWidth="1"/>
    <col min="1032" max="1032" width="32" style="104" customWidth="1"/>
    <col min="1033" max="1033" width="26" style="104" customWidth="1"/>
    <col min="1034" max="1034" width="8" style="104" customWidth="1"/>
    <col min="1035" max="1035" width="25" style="104" customWidth="1"/>
    <col min="1036" max="1037" width="8.140625" style="104" customWidth="1"/>
    <col min="1038" max="1038" width="10.85546875" style="104" customWidth="1"/>
    <col min="1039" max="1039" width="8.42578125" style="104" customWidth="1"/>
    <col min="1040" max="1040" width="26.5703125" style="104" customWidth="1"/>
    <col min="1041" max="1042" width="20.7109375" style="104" customWidth="1"/>
    <col min="1043" max="1044" width="6.7109375" style="104" customWidth="1"/>
    <col min="1045" max="1045" width="11.7109375" style="104" customWidth="1"/>
    <col min="1046" max="1280" width="9.140625" style="104"/>
    <col min="1281" max="1281" width="11.140625" style="104" customWidth="1"/>
    <col min="1282" max="1282" width="26.140625" style="104" customWidth="1"/>
    <col min="1283" max="1283" width="25.42578125" style="104" customWidth="1"/>
    <col min="1284" max="1284" width="26.28515625" style="104" customWidth="1"/>
    <col min="1285" max="1285" width="32.5703125" style="104" customWidth="1"/>
    <col min="1286" max="1286" width="8.42578125" style="104" customWidth="1"/>
    <col min="1287" max="1287" width="7.5703125" style="104" customWidth="1"/>
    <col min="1288" max="1288" width="32" style="104" customWidth="1"/>
    <col min="1289" max="1289" width="26" style="104" customWidth="1"/>
    <col min="1290" max="1290" width="8" style="104" customWidth="1"/>
    <col min="1291" max="1291" width="25" style="104" customWidth="1"/>
    <col min="1292" max="1293" width="8.140625" style="104" customWidth="1"/>
    <col min="1294" max="1294" width="10.85546875" style="104" customWidth="1"/>
    <col min="1295" max="1295" width="8.42578125" style="104" customWidth="1"/>
    <col min="1296" max="1296" width="26.5703125" style="104" customWidth="1"/>
    <col min="1297" max="1298" width="20.7109375" style="104" customWidth="1"/>
    <col min="1299" max="1300" width="6.7109375" style="104" customWidth="1"/>
    <col min="1301" max="1301" width="11.7109375" style="104" customWidth="1"/>
    <col min="1302" max="1536" width="9.140625" style="104"/>
    <col min="1537" max="1537" width="11.140625" style="104" customWidth="1"/>
    <col min="1538" max="1538" width="26.140625" style="104" customWidth="1"/>
    <col min="1539" max="1539" width="25.42578125" style="104" customWidth="1"/>
    <col min="1540" max="1540" width="26.28515625" style="104" customWidth="1"/>
    <col min="1541" max="1541" width="32.5703125" style="104" customWidth="1"/>
    <col min="1542" max="1542" width="8.42578125" style="104" customWidth="1"/>
    <col min="1543" max="1543" width="7.5703125" style="104" customWidth="1"/>
    <col min="1544" max="1544" width="32" style="104" customWidth="1"/>
    <col min="1545" max="1545" width="26" style="104" customWidth="1"/>
    <col min="1546" max="1546" width="8" style="104" customWidth="1"/>
    <col min="1547" max="1547" width="25" style="104" customWidth="1"/>
    <col min="1548" max="1549" width="8.140625" style="104" customWidth="1"/>
    <col min="1550" max="1550" width="10.85546875" style="104" customWidth="1"/>
    <col min="1551" max="1551" width="8.42578125" style="104" customWidth="1"/>
    <col min="1552" max="1552" width="26.5703125" style="104" customWidth="1"/>
    <col min="1553" max="1554" width="20.7109375" style="104" customWidth="1"/>
    <col min="1555" max="1556" width="6.7109375" style="104" customWidth="1"/>
    <col min="1557" max="1557" width="11.7109375" style="104" customWidth="1"/>
    <col min="1558" max="1792" width="9.140625" style="104"/>
    <col min="1793" max="1793" width="11.140625" style="104" customWidth="1"/>
    <col min="1794" max="1794" width="26.140625" style="104" customWidth="1"/>
    <col min="1795" max="1795" width="25.42578125" style="104" customWidth="1"/>
    <col min="1796" max="1796" width="26.28515625" style="104" customWidth="1"/>
    <col min="1797" max="1797" width="32.5703125" style="104" customWidth="1"/>
    <col min="1798" max="1798" width="8.42578125" style="104" customWidth="1"/>
    <col min="1799" max="1799" width="7.5703125" style="104" customWidth="1"/>
    <col min="1800" max="1800" width="32" style="104" customWidth="1"/>
    <col min="1801" max="1801" width="26" style="104" customWidth="1"/>
    <col min="1802" max="1802" width="8" style="104" customWidth="1"/>
    <col min="1803" max="1803" width="25" style="104" customWidth="1"/>
    <col min="1804" max="1805" width="8.140625" style="104" customWidth="1"/>
    <col min="1806" max="1806" width="10.85546875" style="104" customWidth="1"/>
    <col min="1807" max="1807" width="8.42578125" style="104" customWidth="1"/>
    <col min="1808" max="1808" width="26.5703125" style="104" customWidth="1"/>
    <col min="1809" max="1810" width="20.7109375" style="104" customWidth="1"/>
    <col min="1811" max="1812" width="6.7109375" style="104" customWidth="1"/>
    <col min="1813" max="1813" width="11.7109375" style="104" customWidth="1"/>
    <col min="1814" max="2048" width="9.140625" style="104"/>
    <col min="2049" max="2049" width="11.140625" style="104" customWidth="1"/>
    <col min="2050" max="2050" width="26.140625" style="104" customWidth="1"/>
    <col min="2051" max="2051" width="25.42578125" style="104" customWidth="1"/>
    <col min="2052" max="2052" width="26.28515625" style="104" customWidth="1"/>
    <col min="2053" max="2053" width="32.5703125" style="104" customWidth="1"/>
    <col min="2054" max="2054" width="8.42578125" style="104" customWidth="1"/>
    <col min="2055" max="2055" width="7.5703125" style="104" customWidth="1"/>
    <col min="2056" max="2056" width="32" style="104" customWidth="1"/>
    <col min="2057" max="2057" width="26" style="104" customWidth="1"/>
    <col min="2058" max="2058" width="8" style="104" customWidth="1"/>
    <col min="2059" max="2059" width="25" style="104" customWidth="1"/>
    <col min="2060" max="2061" width="8.140625" style="104" customWidth="1"/>
    <col min="2062" max="2062" width="10.85546875" style="104" customWidth="1"/>
    <col min="2063" max="2063" width="8.42578125" style="104" customWidth="1"/>
    <col min="2064" max="2064" width="26.5703125" style="104" customWidth="1"/>
    <col min="2065" max="2066" width="20.7109375" style="104" customWidth="1"/>
    <col min="2067" max="2068" width="6.7109375" style="104" customWidth="1"/>
    <col min="2069" max="2069" width="11.7109375" style="104" customWidth="1"/>
    <col min="2070" max="2304" width="9.140625" style="104"/>
    <col min="2305" max="2305" width="11.140625" style="104" customWidth="1"/>
    <col min="2306" max="2306" width="26.140625" style="104" customWidth="1"/>
    <col min="2307" max="2307" width="25.42578125" style="104" customWidth="1"/>
    <col min="2308" max="2308" width="26.28515625" style="104" customWidth="1"/>
    <col min="2309" max="2309" width="32.5703125" style="104" customWidth="1"/>
    <col min="2310" max="2310" width="8.42578125" style="104" customWidth="1"/>
    <col min="2311" max="2311" width="7.5703125" style="104" customWidth="1"/>
    <col min="2312" max="2312" width="32" style="104" customWidth="1"/>
    <col min="2313" max="2313" width="26" style="104" customWidth="1"/>
    <col min="2314" max="2314" width="8" style="104" customWidth="1"/>
    <col min="2315" max="2315" width="25" style="104" customWidth="1"/>
    <col min="2316" max="2317" width="8.140625" style="104" customWidth="1"/>
    <col min="2318" max="2318" width="10.85546875" style="104" customWidth="1"/>
    <col min="2319" max="2319" width="8.42578125" style="104" customWidth="1"/>
    <col min="2320" max="2320" width="26.5703125" style="104" customWidth="1"/>
    <col min="2321" max="2322" width="20.7109375" style="104" customWidth="1"/>
    <col min="2323" max="2324" width="6.7109375" style="104" customWidth="1"/>
    <col min="2325" max="2325" width="11.7109375" style="104" customWidth="1"/>
    <col min="2326" max="2560" width="9.140625" style="104"/>
    <col min="2561" max="2561" width="11.140625" style="104" customWidth="1"/>
    <col min="2562" max="2562" width="26.140625" style="104" customWidth="1"/>
    <col min="2563" max="2563" width="25.42578125" style="104" customWidth="1"/>
    <col min="2564" max="2564" width="26.28515625" style="104" customWidth="1"/>
    <col min="2565" max="2565" width="32.5703125" style="104" customWidth="1"/>
    <col min="2566" max="2566" width="8.42578125" style="104" customWidth="1"/>
    <col min="2567" max="2567" width="7.5703125" style="104" customWidth="1"/>
    <col min="2568" max="2568" width="32" style="104" customWidth="1"/>
    <col min="2569" max="2569" width="26" style="104" customWidth="1"/>
    <col min="2570" max="2570" width="8" style="104" customWidth="1"/>
    <col min="2571" max="2571" width="25" style="104" customWidth="1"/>
    <col min="2572" max="2573" width="8.140625" style="104" customWidth="1"/>
    <col min="2574" max="2574" width="10.85546875" style="104" customWidth="1"/>
    <col min="2575" max="2575" width="8.42578125" style="104" customWidth="1"/>
    <col min="2576" max="2576" width="26.5703125" style="104" customWidth="1"/>
    <col min="2577" max="2578" width="20.7109375" style="104" customWidth="1"/>
    <col min="2579" max="2580" width="6.7109375" style="104" customWidth="1"/>
    <col min="2581" max="2581" width="11.7109375" style="104" customWidth="1"/>
    <col min="2582" max="2816" width="9.140625" style="104"/>
    <col min="2817" max="2817" width="11.140625" style="104" customWidth="1"/>
    <col min="2818" max="2818" width="26.140625" style="104" customWidth="1"/>
    <col min="2819" max="2819" width="25.42578125" style="104" customWidth="1"/>
    <col min="2820" max="2820" width="26.28515625" style="104" customWidth="1"/>
    <col min="2821" max="2821" width="32.5703125" style="104" customWidth="1"/>
    <col min="2822" max="2822" width="8.42578125" style="104" customWidth="1"/>
    <col min="2823" max="2823" width="7.5703125" style="104" customWidth="1"/>
    <col min="2824" max="2824" width="32" style="104" customWidth="1"/>
    <col min="2825" max="2825" width="26" style="104" customWidth="1"/>
    <col min="2826" max="2826" width="8" style="104" customWidth="1"/>
    <col min="2827" max="2827" width="25" style="104" customWidth="1"/>
    <col min="2828" max="2829" width="8.140625" style="104" customWidth="1"/>
    <col min="2830" max="2830" width="10.85546875" style="104" customWidth="1"/>
    <col min="2831" max="2831" width="8.42578125" style="104" customWidth="1"/>
    <col min="2832" max="2832" width="26.5703125" style="104" customWidth="1"/>
    <col min="2833" max="2834" width="20.7109375" style="104" customWidth="1"/>
    <col min="2835" max="2836" width="6.7109375" style="104" customWidth="1"/>
    <col min="2837" max="2837" width="11.7109375" style="104" customWidth="1"/>
    <col min="2838" max="3072" width="9.140625" style="104"/>
    <col min="3073" max="3073" width="11.140625" style="104" customWidth="1"/>
    <col min="3074" max="3074" width="26.140625" style="104" customWidth="1"/>
    <col min="3075" max="3075" width="25.42578125" style="104" customWidth="1"/>
    <col min="3076" max="3076" width="26.28515625" style="104" customWidth="1"/>
    <col min="3077" max="3077" width="32.5703125" style="104" customWidth="1"/>
    <col min="3078" max="3078" width="8.42578125" style="104" customWidth="1"/>
    <col min="3079" max="3079" width="7.5703125" style="104" customWidth="1"/>
    <col min="3080" max="3080" width="32" style="104" customWidth="1"/>
    <col min="3081" max="3081" width="26" style="104" customWidth="1"/>
    <col min="3082" max="3082" width="8" style="104" customWidth="1"/>
    <col min="3083" max="3083" width="25" style="104" customWidth="1"/>
    <col min="3084" max="3085" width="8.140625" style="104" customWidth="1"/>
    <col min="3086" max="3086" width="10.85546875" style="104" customWidth="1"/>
    <col min="3087" max="3087" width="8.42578125" style="104" customWidth="1"/>
    <col min="3088" max="3088" width="26.5703125" style="104" customWidth="1"/>
    <col min="3089" max="3090" width="20.7109375" style="104" customWidth="1"/>
    <col min="3091" max="3092" width="6.7109375" style="104" customWidth="1"/>
    <col min="3093" max="3093" width="11.7109375" style="104" customWidth="1"/>
    <col min="3094" max="3328" width="9.140625" style="104"/>
    <col min="3329" max="3329" width="11.140625" style="104" customWidth="1"/>
    <col min="3330" max="3330" width="26.140625" style="104" customWidth="1"/>
    <col min="3331" max="3331" width="25.42578125" style="104" customWidth="1"/>
    <col min="3332" max="3332" width="26.28515625" style="104" customWidth="1"/>
    <col min="3333" max="3333" width="32.5703125" style="104" customWidth="1"/>
    <col min="3334" max="3334" width="8.42578125" style="104" customWidth="1"/>
    <col min="3335" max="3335" width="7.5703125" style="104" customWidth="1"/>
    <col min="3336" max="3336" width="32" style="104" customWidth="1"/>
    <col min="3337" max="3337" width="26" style="104" customWidth="1"/>
    <col min="3338" max="3338" width="8" style="104" customWidth="1"/>
    <col min="3339" max="3339" width="25" style="104" customWidth="1"/>
    <col min="3340" max="3341" width="8.140625" style="104" customWidth="1"/>
    <col min="3342" max="3342" width="10.85546875" style="104" customWidth="1"/>
    <col min="3343" max="3343" width="8.42578125" style="104" customWidth="1"/>
    <col min="3344" max="3344" width="26.5703125" style="104" customWidth="1"/>
    <col min="3345" max="3346" width="20.7109375" style="104" customWidth="1"/>
    <col min="3347" max="3348" width="6.7109375" style="104" customWidth="1"/>
    <col min="3349" max="3349" width="11.7109375" style="104" customWidth="1"/>
    <col min="3350" max="3584" width="9.140625" style="104"/>
    <col min="3585" max="3585" width="11.140625" style="104" customWidth="1"/>
    <col min="3586" max="3586" width="26.140625" style="104" customWidth="1"/>
    <col min="3587" max="3587" width="25.42578125" style="104" customWidth="1"/>
    <col min="3588" max="3588" width="26.28515625" style="104" customWidth="1"/>
    <col min="3589" max="3589" width="32.5703125" style="104" customWidth="1"/>
    <col min="3590" max="3590" width="8.42578125" style="104" customWidth="1"/>
    <col min="3591" max="3591" width="7.5703125" style="104" customWidth="1"/>
    <col min="3592" max="3592" width="32" style="104" customWidth="1"/>
    <col min="3593" max="3593" width="26" style="104" customWidth="1"/>
    <col min="3594" max="3594" width="8" style="104" customWidth="1"/>
    <col min="3595" max="3595" width="25" style="104" customWidth="1"/>
    <col min="3596" max="3597" width="8.140625" style="104" customWidth="1"/>
    <col min="3598" max="3598" width="10.85546875" style="104" customWidth="1"/>
    <col min="3599" max="3599" width="8.42578125" style="104" customWidth="1"/>
    <col min="3600" max="3600" width="26.5703125" style="104" customWidth="1"/>
    <col min="3601" max="3602" width="20.7109375" style="104" customWidth="1"/>
    <col min="3603" max="3604" width="6.7109375" style="104" customWidth="1"/>
    <col min="3605" max="3605" width="11.7109375" style="104" customWidth="1"/>
    <col min="3606" max="3840" width="9.140625" style="104"/>
    <col min="3841" max="3841" width="11.140625" style="104" customWidth="1"/>
    <col min="3842" max="3842" width="26.140625" style="104" customWidth="1"/>
    <col min="3843" max="3843" width="25.42578125" style="104" customWidth="1"/>
    <col min="3844" max="3844" width="26.28515625" style="104" customWidth="1"/>
    <col min="3845" max="3845" width="32.5703125" style="104" customWidth="1"/>
    <col min="3846" max="3846" width="8.42578125" style="104" customWidth="1"/>
    <col min="3847" max="3847" width="7.5703125" style="104" customWidth="1"/>
    <col min="3848" max="3848" width="32" style="104" customWidth="1"/>
    <col min="3849" max="3849" width="26" style="104" customWidth="1"/>
    <col min="3850" max="3850" width="8" style="104" customWidth="1"/>
    <col min="3851" max="3851" width="25" style="104" customWidth="1"/>
    <col min="3852" max="3853" width="8.140625" style="104" customWidth="1"/>
    <col min="3854" max="3854" width="10.85546875" style="104" customWidth="1"/>
    <col min="3855" max="3855" width="8.42578125" style="104" customWidth="1"/>
    <col min="3856" max="3856" width="26.5703125" style="104" customWidth="1"/>
    <col min="3857" max="3858" width="20.7109375" style="104" customWidth="1"/>
    <col min="3859" max="3860" width="6.7109375" style="104" customWidth="1"/>
    <col min="3861" max="3861" width="11.7109375" style="104" customWidth="1"/>
    <col min="3862" max="4096" width="9.140625" style="104"/>
    <col min="4097" max="4097" width="11.140625" style="104" customWidth="1"/>
    <col min="4098" max="4098" width="26.140625" style="104" customWidth="1"/>
    <col min="4099" max="4099" width="25.42578125" style="104" customWidth="1"/>
    <col min="4100" max="4100" width="26.28515625" style="104" customWidth="1"/>
    <col min="4101" max="4101" width="32.5703125" style="104" customWidth="1"/>
    <col min="4102" max="4102" width="8.42578125" style="104" customWidth="1"/>
    <col min="4103" max="4103" width="7.5703125" style="104" customWidth="1"/>
    <col min="4104" max="4104" width="32" style="104" customWidth="1"/>
    <col min="4105" max="4105" width="26" style="104" customWidth="1"/>
    <col min="4106" max="4106" width="8" style="104" customWidth="1"/>
    <col min="4107" max="4107" width="25" style="104" customWidth="1"/>
    <col min="4108" max="4109" width="8.140625" style="104" customWidth="1"/>
    <col min="4110" max="4110" width="10.85546875" style="104" customWidth="1"/>
    <col min="4111" max="4111" width="8.42578125" style="104" customWidth="1"/>
    <col min="4112" max="4112" width="26.5703125" style="104" customWidth="1"/>
    <col min="4113" max="4114" width="20.7109375" style="104" customWidth="1"/>
    <col min="4115" max="4116" width="6.7109375" style="104" customWidth="1"/>
    <col min="4117" max="4117" width="11.7109375" style="104" customWidth="1"/>
    <col min="4118" max="4352" width="9.140625" style="104"/>
    <col min="4353" max="4353" width="11.140625" style="104" customWidth="1"/>
    <col min="4354" max="4354" width="26.140625" style="104" customWidth="1"/>
    <col min="4355" max="4355" width="25.42578125" style="104" customWidth="1"/>
    <col min="4356" max="4356" width="26.28515625" style="104" customWidth="1"/>
    <col min="4357" max="4357" width="32.5703125" style="104" customWidth="1"/>
    <col min="4358" max="4358" width="8.42578125" style="104" customWidth="1"/>
    <col min="4359" max="4359" width="7.5703125" style="104" customWidth="1"/>
    <col min="4360" max="4360" width="32" style="104" customWidth="1"/>
    <col min="4361" max="4361" width="26" style="104" customWidth="1"/>
    <col min="4362" max="4362" width="8" style="104" customWidth="1"/>
    <col min="4363" max="4363" width="25" style="104" customWidth="1"/>
    <col min="4364" max="4365" width="8.140625" style="104" customWidth="1"/>
    <col min="4366" max="4366" width="10.85546875" style="104" customWidth="1"/>
    <col min="4367" max="4367" width="8.42578125" style="104" customWidth="1"/>
    <col min="4368" max="4368" width="26.5703125" style="104" customWidth="1"/>
    <col min="4369" max="4370" width="20.7109375" style="104" customWidth="1"/>
    <col min="4371" max="4372" width="6.7109375" style="104" customWidth="1"/>
    <col min="4373" max="4373" width="11.7109375" style="104" customWidth="1"/>
    <col min="4374" max="4608" width="9.140625" style="104"/>
    <col min="4609" max="4609" width="11.140625" style="104" customWidth="1"/>
    <col min="4610" max="4610" width="26.140625" style="104" customWidth="1"/>
    <col min="4611" max="4611" width="25.42578125" style="104" customWidth="1"/>
    <col min="4612" max="4612" width="26.28515625" style="104" customWidth="1"/>
    <col min="4613" max="4613" width="32.5703125" style="104" customWidth="1"/>
    <col min="4614" max="4614" width="8.42578125" style="104" customWidth="1"/>
    <col min="4615" max="4615" width="7.5703125" style="104" customWidth="1"/>
    <col min="4616" max="4616" width="32" style="104" customWidth="1"/>
    <col min="4617" max="4617" width="26" style="104" customWidth="1"/>
    <col min="4618" max="4618" width="8" style="104" customWidth="1"/>
    <col min="4619" max="4619" width="25" style="104" customWidth="1"/>
    <col min="4620" max="4621" width="8.140625" style="104" customWidth="1"/>
    <col min="4622" max="4622" width="10.85546875" style="104" customWidth="1"/>
    <col min="4623" max="4623" width="8.42578125" style="104" customWidth="1"/>
    <col min="4624" max="4624" width="26.5703125" style="104" customWidth="1"/>
    <col min="4625" max="4626" width="20.7109375" style="104" customWidth="1"/>
    <col min="4627" max="4628" width="6.7109375" style="104" customWidth="1"/>
    <col min="4629" max="4629" width="11.7109375" style="104" customWidth="1"/>
    <col min="4630" max="4864" width="9.140625" style="104"/>
    <col min="4865" max="4865" width="11.140625" style="104" customWidth="1"/>
    <col min="4866" max="4866" width="26.140625" style="104" customWidth="1"/>
    <col min="4867" max="4867" width="25.42578125" style="104" customWidth="1"/>
    <col min="4868" max="4868" width="26.28515625" style="104" customWidth="1"/>
    <col min="4869" max="4869" width="32.5703125" style="104" customWidth="1"/>
    <col min="4870" max="4870" width="8.42578125" style="104" customWidth="1"/>
    <col min="4871" max="4871" width="7.5703125" style="104" customWidth="1"/>
    <col min="4872" max="4872" width="32" style="104" customWidth="1"/>
    <col min="4873" max="4873" width="26" style="104" customWidth="1"/>
    <col min="4874" max="4874" width="8" style="104" customWidth="1"/>
    <col min="4875" max="4875" width="25" style="104" customWidth="1"/>
    <col min="4876" max="4877" width="8.140625" style="104" customWidth="1"/>
    <col min="4878" max="4878" width="10.85546875" style="104" customWidth="1"/>
    <col min="4879" max="4879" width="8.42578125" style="104" customWidth="1"/>
    <col min="4880" max="4880" width="26.5703125" style="104" customWidth="1"/>
    <col min="4881" max="4882" width="20.7109375" style="104" customWidth="1"/>
    <col min="4883" max="4884" width="6.7109375" style="104" customWidth="1"/>
    <col min="4885" max="4885" width="11.7109375" style="104" customWidth="1"/>
    <col min="4886" max="5120" width="9.140625" style="104"/>
    <col min="5121" max="5121" width="11.140625" style="104" customWidth="1"/>
    <col min="5122" max="5122" width="26.140625" style="104" customWidth="1"/>
    <col min="5123" max="5123" width="25.42578125" style="104" customWidth="1"/>
    <col min="5124" max="5124" width="26.28515625" style="104" customWidth="1"/>
    <col min="5125" max="5125" width="32.5703125" style="104" customWidth="1"/>
    <col min="5126" max="5126" width="8.42578125" style="104" customWidth="1"/>
    <col min="5127" max="5127" width="7.5703125" style="104" customWidth="1"/>
    <col min="5128" max="5128" width="32" style="104" customWidth="1"/>
    <col min="5129" max="5129" width="26" style="104" customWidth="1"/>
    <col min="5130" max="5130" width="8" style="104" customWidth="1"/>
    <col min="5131" max="5131" width="25" style="104" customWidth="1"/>
    <col min="5132" max="5133" width="8.140625" style="104" customWidth="1"/>
    <col min="5134" max="5134" width="10.85546875" style="104" customWidth="1"/>
    <col min="5135" max="5135" width="8.42578125" style="104" customWidth="1"/>
    <col min="5136" max="5136" width="26.5703125" style="104" customWidth="1"/>
    <col min="5137" max="5138" width="20.7109375" style="104" customWidth="1"/>
    <col min="5139" max="5140" width="6.7109375" style="104" customWidth="1"/>
    <col min="5141" max="5141" width="11.7109375" style="104" customWidth="1"/>
    <col min="5142" max="5376" width="9.140625" style="104"/>
    <col min="5377" max="5377" width="11.140625" style="104" customWidth="1"/>
    <col min="5378" max="5378" width="26.140625" style="104" customWidth="1"/>
    <col min="5379" max="5379" width="25.42578125" style="104" customWidth="1"/>
    <col min="5380" max="5380" width="26.28515625" style="104" customWidth="1"/>
    <col min="5381" max="5381" width="32.5703125" style="104" customWidth="1"/>
    <col min="5382" max="5382" width="8.42578125" style="104" customWidth="1"/>
    <col min="5383" max="5383" width="7.5703125" style="104" customWidth="1"/>
    <col min="5384" max="5384" width="32" style="104" customWidth="1"/>
    <col min="5385" max="5385" width="26" style="104" customWidth="1"/>
    <col min="5386" max="5386" width="8" style="104" customWidth="1"/>
    <col min="5387" max="5387" width="25" style="104" customWidth="1"/>
    <col min="5388" max="5389" width="8.140625" style="104" customWidth="1"/>
    <col min="5390" max="5390" width="10.85546875" style="104" customWidth="1"/>
    <col min="5391" max="5391" width="8.42578125" style="104" customWidth="1"/>
    <col min="5392" max="5392" width="26.5703125" style="104" customWidth="1"/>
    <col min="5393" max="5394" width="20.7109375" style="104" customWidth="1"/>
    <col min="5395" max="5396" width="6.7109375" style="104" customWidth="1"/>
    <col min="5397" max="5397" width="11.7109375" style="104" customWidth="1"/>
    <col min="5398" max="5632" width="9.140625" style="104"/>
    <col min="5633" max="5633" width="11.140625" style="104" customWidth="1"/>
    <col min="5634" max="5634" width="26.140625" style="104" customWidth="1"/>
    <col min="5635" max="5635" width="25.42578125" style="104" customWidth="1"/>
    <col min="5636" max="5636" width="26.28515625" style="104" customWidth="1"/>
    <col min="5637" max="5637" width="32.5703125" style="104" customWidth="1"/>
    <col min="5638" max="5638" width="8.42578125" style="104" customWidth="1"/>
    <col min="5639" max="5639" width="7.5703125" style="104" customWidth="1"/>
    <col min="5640" max="5640" width="32" style="104" customWidth="1"/>
    <col min="5641" max="5641" width="26" style="104" customWidth="1"/>
    <col min="5642" max="5642" width="8" style="104" customWidth="1"/>
    <col min="5643" max="5643" width="25" style="104" customWidth="1"/>
    <col min="5644" max="5645" width="8.140625" style="104" customWidth="1"/>
    <col min="5646" max="5646" width="10.85546875" style="104" customWidth="1"/>
    <col min="5647" max="5647" width="8.42578125" style="104" customWidth="1"/>
    <col min="5648" max="5648" width="26.5703125" style="104" customWidth="1"/>
    <col min="5649" max="5650" width="20.7109375" style="104" customWidth="1"/>
    <col min="5651" max="5652" width="6.7109375" style="104" customWidth="1"/>
    <col min="5653" max="5653" width="11.7109375" style="104" customWidth="1"/>
    <col min="5654" max="5888" width="9.140625" style="104"/>
    <col min="5889" max="5889" width="11.140625" style="104" customWidth="1"/>
    <col min="5890" max="5890" width="26.140625" style="104" customWidth="1"/>
    <col min="5891" max="5891" width="25.42578125" style="104" customWidth="1"/>
    <col min="5892" max="5892" width="26.28515625" style="104" customWidth="1"/>
    <col min="5893" max="5893" width="32.5703125" style="104" customWidth="1"/>
    <col min="5894" max="5894" width="8.42578125" style="104" customWidth="1"/>
    <col min="5895" max="5895" width="7.5703125" style="104" customWidth="1"/>
    <col min="5896" max="5896" width="32" style="104" customWidth="1"/>
    <col min="5897" max="5897" width="26" style="104" customWidth="1"/>
    <col min="5898" max="5898" width="8" style="104" customWidth="1"/>
    <col min="5899" max="5899" width="25" style="104" customWidth="1"/>
    <col min="5900" max="5901" width="8.140625" style="104" customWidth="1"/>
    <col min="5902" max="5902" width="10.85546875" style="104" customWidth="1"/>
    <col min="5903" max="5903" width="8.42578125" style="104" customWidth="1"/>
    <col min="5904" max="5904" width="26.5703125" style="104" customWidth="1"/>
    <col min="5905" max="5906" width="20.7109375" style="104" customWidth="1"/>
    <col min="5907" max="5908" width="6.7109375" style="104" customWidth="1"/>
    <col min="5909" max="5909" width="11.7109375" style="104" customWidth="1"/>
    <col min="5910" max="6144" width="9.140625" style="104"/>
    <col min="6145" max="6145" width="11.140625" style="104" customWidth="1"/>
    <col min="6146" max="6146" width="26.140625" style="104" customWidth="1"/>
    <col min="6147" max="6147" width="25.42578125" style="104" customWidth="1"/>
    <col min="6148" max="6148" width="26.28515625" style="104" customWidth="1"/>
    <col min="6149" max="6149" width="32.5703125" style="104" customWidth="1"/>
    <col min="6150" max="6150" width="8.42578125" style="104" customWidth="1"/>
    <col min="6151" max="6151" width="7.5703125" style="104" customWidth="1"/>
    <col min="6152" max="6152" width="32" style="104" customWidth="1"/>
    <col min="6153" max="6153" width="26" style="104" customWidth="1"/>
    <col min="6154" max="6154" width="8" style="104" customWidth="1"/>
    <col min="6155" max="6155" width="25" style="104" customWidth="1"/>
    <col min="6156" max="6157" width="8.140625" style="104" customWidth="1"/>
    <col min="6158" max="6158" width="10.85546875" style="104" customWidth="1"/>
    <col min="6159" max="6159" width="8.42578125" style="104" customWidth="1"/>
    <col min="6160" max="6160" width="26.5703125" style="104" customWidth="1"/>
    <col min="6161" max="6162" width="20.7109375" style="104" customWidth="1"/>
    <col min="6163" max="6164" width="6.7109375" style="104" customWidth="1"/>
    <col min="6165" max="6165" width="11.7109375" style="104" customWidth="1"/>
    <col min="6166" max="6400" width="9.140625" style="104"/>
    <col min="6401" max="6401" width="11.140625" style="104" customWidth="1"/>
    <col min="6402" max="6402" width="26.140625" style="104" customWidth="1"/>
    <col min="6403" max="6403" width="25.42578125" style="104" customWidth="1"/>
    <col min="6404" max="6404" width="26.28515625" style="104" customWidth="1"/>
    <col min="6405" max="6405" width="32.5703125" style="104" customWidth="1"/>
    <col min="6406" max="6406" width="8.42578125" style="104" customWidth="1"/>
    <col min="6407" max="6407" width="7.5703125" style="104" customWidth="1"/>
    <col min="6408" max="6408" width="32" style="104" customWidth="1"/>
    <col min="6409" max="6409" width="26" style="104" customWidth="1"/>
    <col min="6410" max="6410" width="8" style="104" customWidth="1"/>
    <col min="6411" max="6411" width="25" style="104" customWidth="1"/>
    <col min="6412" max="6413" width="8.140625" style="104" customWidth="1"/>
    <col min="6414" max="6414" width="10.85546875" style="104" customWidth="1"/>
    <col min="6415" max="6415" width="8.42578125" style="104" customWidth="1"/>
    <col min="6416" max="6416" width="26.5703125" style="104" customWidth="1"/>
    <col min="6417" max="6418" width="20.7109375" style="104" customWidth="1"/>
    <col min="6419" max="6420" width="6.7109375" style="104" customWidth="1"/>
    <col min="6421" max="6421" width="11.7109375" style="104" customWidth="1"/>
    <col min="6422" max="6656" width="9.140625" style="104"/>
    <col min="6657" max="6657" width="11.140625" style="104" customWidth="1"/>
    <col min="6658" max="6658" width="26.140625" style="104" customWidth="1"/>
    <col min="6659" max="6659" width="25.42578125" style="104" customWidth="1"/>
    <col min="6660" max="6660" width="26.28515625" style="104" customWidth="1"/>
    <col min="6661" max="6661" width="32.5703125" style="104" customWidth="1"/>
    <col min="6662" max="6662" width="8.42578125" style="104" customWidth="1"/>
    <col min="6663" max="6663" width="7.5703125" style="104" customWidth="1"/>
    <col min="6664" max="6664" width="32" style="104" customWidth="1"/>
    <col min="6665" max="6665" width="26" style="104" customWidth="1"/>
    <col min="6666" max="6666" width="8" style="104" customWidth="1"/>
    <col min="6667" max="6667" width="25" style="104" customWidth="1"/>
    <col min="6668" max="6669" width="8.140625" style="104" customWidth="1"/>
    <col min="6670" max="6670" width="10.85546875" style="104" customWidth="1"/>
    <col min="6671" max="6671" width="8.42578125" style="104" customWidth="1"/>
    <col min="6672" max="6672" width="26.5703125" style="104" customWidth="1"/>
    <col min="6673" max="6674" width="20.7109375" style="104" customWidth="1"/>
    <col min="6675" max="6676" width="6.7109375" style="104" customWidth="1"/>
    <col min="6677" max="6677" width="11.7109375" style="104" customWidth="1"/>
    <col min="6678" max="6912" width="9.140625" style="104"/>
    <col min="6913" max="6913" width="11.140625" style="104" customWidth="1"/>
    <col min="6914" max="6914" width="26.140625" style="104" customWidth="1"/>
    <col min="6915" max="6915" width="25.42578125" style="104" customWidth="1"/>
    <col min="6916" max="6916" width="26.28515625" style="104" customWidth="1"/>
    <col min="6917" max="6917" width="32.5703125" style="104" customWidth="1"/>
    <col min="6918" max="6918" width="8.42578125" style="104" customWidth="1"/>
    <col min="6919" max="6919" width="7.5703125" style="104" customWidth="1"/>
    <col min="6920" max="6920" width="32" style="104" customWidth="1"/>
    <col min="6921" max="6921" width="26" style="104" customWidth="1"/>
    <col min="6922" max="6922" width="8" style="104" customWidth="1"/>
    <col min="6923" max="6923" width="25" style="104" customWidth="1"/>
    <col min="6924" max="6925" width="8.140625" style="104" customWidth="1"/>
    <col min="6926" max="6926" width="10.85546875" style="104" customWidth="1"/>
    <col min="6927" max="6927" width="8.42578125" style="104" customWidth="1"/>
    <col min="6928" max="6928" width="26.5703125" style="104" customWidth="1"/>
    <col min="6929" max="6930" width="20.7109375" style="104" customWidth="1"/>
    <col min="6931" max="6932" width="6.7109375" style="104" customWidth="1"/>
    <col min="6933" max="6933" width="11.7109375" style="104" customWidth="1"/>
    <col min="6934" max="7168" width="9.140625" style="104"/>
    <col min="7169" max="7169" width="11.140625" style="104" customWidth="1"/>
    <col min="7170" max="7170" width="26.140625" style="104" customWidth="1"/>
    <col min="7171" max="7171" width="25.42578125" style="104" customWidth="1"/>
    <col min="7172" max="7172" width="26.28515625" style="104" customWidth="1"/>
    <col min="7173" max="7173" width="32.5703125" style="104" customWidth="1"/>
    <col min="7174" max="7174" width="8.42578125" style="104" customWidth="1"/>
    <col min="7175" max="7175" width="7.5703125" style="104" customWidth="1"/>
    <col min="7176" max="7176" width="32" style="104" customWidth="1"/>
    <col min="7177" max="7177" width="26" style="104" customWidth="1"/>
    <col min="7178" max="7178" width="8" style="104" customWidth="1"/>
    <col min="7179" max="7179" width="25" style="104" customWidth="1"/>
    <col min="7180" max="7181" width="8.140625" style="104" customWidth="1"/>
    <col min="7182" max="7182" width="10.85546875" style="104" customWidth="1"/>
    <col min="7183" max="7183" width="8.42578125" style="104" customWidth="1"/>
    <col min="7184" max="7184" width="26.5703125" style="104" customWidth="1"/>
    <col min="7185" max="7186" width="20.7109375" style="104" customWidth="1"/>
    <col min="7187" max="7188" width="6.7109375" style="104" customWidth="1"/>
    <col min="7189" max="7189" width="11.7109375" style="104" customWidth="1"/>
    <col min="7190" max="7424" width="9.140625" style="104"/>
    <col min="7425" max="7425" width="11.140625" style="104" customWidth="1"/>
    <col min="7426" max="7426" width="26.140625" style="104" customWidth="1"/>
    <col min="7427" max="7427" width="25.42578125" style="104" customWidth="1"/>
    <col min="7428" max="7428" width="26.28515625" style="104" customWidth="1"/>
    <col min="7429" max="7429" width="32.5703125" style="104" customWidth="1"/>
    <col min="7430" max="7430" width="8.42578125" style="104" customWidth="1"/>
    <col min="7431" max="7431" width="7.5703125" style="104" customWidth="1"/>
    <col min="7432" max="7432" width="32" style="104" customWidth="1"/>
    <col min="7433" max="7433" width="26" style="104" customWidth="1"/>
    <col min="7434" max="7434" width="8" style="104" customWidth="1"/>
    <col min="7435" max="7435" width="25" style="104" customWidth="1"/>
    <col min="7436" max="7437" width="8.140625" style="104" customWidth="1"/>
    <col min="7438" max="7438" width="10.85546875" style="104" customWidth="1"/>
    <col min="7439" max="7439" width="8.42578125" style="104" customWidth="1"/>
    <col min="7440" max="7440" width="26.5703125" style="104" customWidth="1"/>
    <col min="7441" max="7442" width="20.7109375" style="104" customWidth="1"/>
    <col min="7443" max="7444" width="6.7109375" style="104" customWidth="1"/>
    <col min="7445" max="7445" width="11.7109375" style="104" customWidth="1"/>
    <col min="7446" max="7680" width="9.140625" style="104"/>
    <col min="7681" max="7681" width="11.140625" style="104" customWidth="1"/>
    <col min="7682" max="7682" width="26.140625" style="104" customWidth="1"/>
    <col min="7683" max="7683" width="25.42578125" style="104" customWidth="1"/>
    <col min="7684" max="7684" width="26.28515625" style="104" customWidth="1"/>
    <col min="7685" max="7685" width="32.5703125" style="104" customWidth="1"/>
    <col min="7686" max="7686" width="8.42578125" style="104" customWidth="1"/>
    <col min="7687" max="7687" width="7.5703125" style="104" customWidth="1"/>
    <col min="7688" max="7688" width="32" style="104" customWidth="1"/>
    <col min="7689" max="7689" width="26" style="104" customWidth="1"/>
    <col min="7690" max="7690" width="8" style="104" customWidth="1"/>
    <col min="7691" max="7691" width="25" style="104" customWidth="1"/>
    <col min="7692" max="7693" width="8.140625" style="104" customWidth="1"/>
    <col min="7694" max="7694" width="10.85546875" style="104" customWidth="1"/>
    <col min="7695" max="7695" width="8.42578125" style="104" customWidth="1"/>
    <col min="7696" max="7696" width="26.5703125" style="104" customWidth="1"/>
    <col min="7697" max="7698" width="20.7109375" style="104" customWidth="1"/>
    <col min="7699" max="7700" width="6.7109375" style="104" customWidth="1"/>
    <col min="7701" max="7701" width="11.7109375" style="104" customWidth="1"/>
    <col min="7702" max="7936" width="9.140625" style="104"/>
    <col min="7937" max="7937" width="11.140625" style="104" customWidth="1"/>
    <col min="7938" max="7938" width="26.140625" style="104" customWidth="1"/>
    <col min="7939" max="7939" width="25.42578125" style="104" customWidth="1"/>
    <col min="7940" max="7940" width="26.28515625" style="104" customWidth="1"/>
    <col min="7941" max="7941" width="32.5703125" style="104" customWidth="1"/>
    <col min="7942" max="7942" width="8.42578125" style="104" customWidth="1"/>
    <col min="7943" max="7943" width="7.5703125" style="104" customWidth="1"/>
    <col min="7944" max="7944" width="32" style="104" customWidth="1"/>
    <col min="7945" max="7945" width="26" style="104" customWidth="1"/>
    <col min="7946" max="7946" width="8" style="104" customWidth="1"/>
    <col min="7947" max="7947" width="25" style="104" customWidth="1"/>
    <col min="7948" max="7949" width="8.140625" style="104" customWidth="1"/>
    <col min="7950" max="7950" width="10.85546875" style="104" customWidth="1"/>
    <col min="7951" max="7951" width="8.42578125" style="104" customWidth="1"/>
    <col min="7952" max="7952" width="26.5703125" style="104" customWidth="1"/>
    <col min="7953" max="7954" width="20.7109375" style="104" customWidth="1"/>
    <col min="7955" max="7956" width="6.7109375" style="104" customWidth="1"/>
    <col min="7957" max="7957" width="11.7109375" style="104" customWidth="1"/>
    <col min="7958" max="8192" width="9.140625" style="104"/>
    <col min="8193" max="8193" width="11.140625" style="104" customWidth="1"/>
    <col min="8194" max="8194" width="26.140625" style="104" customWidth="1"/>
    <col min="8195" max="8195" width="25.42578125" style="104" customWidth="1"/>
    <col min="8196" max="8196" width="26.28515625" style="104" customWidth="1"/>
    <col min="8197" max="8197" width="32.5703125" style="104" customWidth="1"/>
    <col min="8198" max="8198" width="8.42578125" style="104" customWidth="1"/>
    <col min="8199" max="8199" width="7.5703125" style="104" customWidth="1"/>
    <col min="8200" max="8200" width="32" style="104" customWidth="1"/>
    <col min="8201" max="8201" width="26" style="104" customWidth="1"/>
    <col min="8202" max="8202" width="8" style="104" customWidth="1"/>
    <col min="8203" max="8203" width="25" style="104" customWidth="1"/>
    <col min="8204" max="8205" width="8.140625" style="104" customWidth="1"/>
    <col min="8206" max="8206" width="10.85546875" style="104" customWidth="1"/>
    <col min="8207" max="8207" width="8.42578125" style="104" customWidth="1"/>
    <col min="8208" max="8208" width="26.5703125" style="104" customWidth="1"/>
    <col min="8209" max="8210" width="20.7109375" style="104" customWidth="1"/>
    <col min="8211" max="8212" width="6.7109375" style="104" customWidth="1"/>
    <col min="8213" max="8213" width="11.7109375" style="104" customWidth="1"/>
    <col min="8214" max="8448" width="9.140625" style="104"/>
    <col min="8449" max="8449" width="11.140625" style="104" customWidth="1"/>
    <col min="8450" max="8450" width="26.140625" style="104" customWidth="1"/>
    <col min="8451" max="8451" width="25.42578125" style="104" customWidth="1"/>
    <col min="8452" max="8452" width="26.28515625" style="104" customWidth="1"/>
    <col min="8453" max="8453" width="32.5703125" style="104" customWidth="1"/>
    <col min="8454" max="8454" width="8.42578125" style="104" customWidth="1"/>
    <col min="8455" max="8455" width="7.5703125" style="104" customWidth="1"/>
    <col min="8456" max="8456" width="32" style="104" customWidth="1"/>
    <col min="8457" max="8457" width="26" style="104" customWidth="1"/>
    <col min="8458" max="8458" width="8" style="104" customWidth="1"/>
    <col min="8459" max="8459" width="25" style="104" customWidth="1"/>
    <col min="8460" max="8461" width="8.140625" style="104" customWidth="1"/>
    <col min="8462" max="8462" width="10.85546875" style="104" customWidth="1"/>
    <col min="8463" max="8463" width="8.42578125" style="104" customWidth="1"/>
    <col min="8464" max="8464" width="26.5703125" style="104" customWidth="1"/>
    <col min="8465" max="8466" width="20.7109375" style="104" customWidth="1"/>
    <col min="8467" max="8468" width="6.7109375" style="104" customWidth="1"/>
    <col min="8469" max="8469" width="11.7109375" style="104" customWidth="1"/>
    <col min="8470" max="8704" width="9.140625" style="104"/>
    <col min="8705" max="8705" width="11.140625" style="104" customWidth="1"/>
    <col min="8706" max="8706" width="26.140625" style="104" customWidth="1"/>
    <col min="8707" max="8707" width="25.42578125" style="104" customWidth="1"/>
    <col min="8708" max="8708" width="26.28515625" style="104" customWidth="1"/>
    <col min="8709" max="8709" width="32.5703125" style="104" customWidth="1"/>
    <col min="8710" max="8710" width="8.42578125" style="104" customWidth="1"/>
    <col min="8711" max="8711" width="7.5703125" style="104" customWidth="1"/>
    <col min="8712" max="8712" width="32" style="104" customWidth="1"/>
    <col min="8713" max="8713" width="26" style="104" customWidth="1"/>
    <col min="8714" max="8714" width="8" style="104" customWidth="1"/>
    <col min="8715" max="8715" width="25" style="104" customWidth="1"/>
    <col min="8716" max="8717" width="8.140625" style="104" customWidth="1"/>
    <col min="8718" max="8718" width="10.85546875" style="104" customWidth="1"/>
    <col min="8719" max="8719" width="8.42578125" style="104" customWidth="1"/>
    <col min="8720" max="8720" width="26.5703125" style="104" customWidth="1"/>
    <col min="8721" max="8722" width="20.7109375" style="104" customWidth="1"/>
    <col min="8723" max="8724" width="6.7109375" style="104" customWidth="1"/>
    <col min="8725" max="8725" width="11.7109375" style="104" customWidth="1"/>
    <col min="8726" max="8960" width="9.140625" style="104"/>
    <col min="8961" max="8961" width="11.140625" style="104" customWidth="1"/>
    <col min="8962" max="8962" width="26.140625" style="104" customWidth="1"/>
    <col min="8963" max="8963" width="25.42578125" style="104" customWidth="1"/>
    <col min="8964" max="8964" width="26.28515625" style="104" customWidth="1"/>
    <col min="8965" max="8965" width="32.5703125" style="104" customWidth="1"/>
    <col min="8966" max="8966" width="8.42578125" style="104" customWidth="1"/>
    <col min="8967" max="8967" width="7.5703125" style="104" customWidth="1"/>
    <col min="8968" max="8968" width="32" style="104" customWidth="1"/>
    <col min="8969" max="8969" width="26" style="104" customWidth="1"/>
    <col min="8970" max="8970" width="8" style="104" customWidth="1"/>
    <col min="8971" max="8971" width="25" style="104" customWidth="1"/>
    <col min="8972" max="8973" width="8.140625" style="104" customWidth="1"/>
    <col min="8974" max="8974" width="10.85546875" style="104" customWidth="1"/>
    <col min="8975" max="8975" width="8.42578125" style="104" customWidth="1"/>
    <col min="8976" max="8976" width="26.5703125" style="104" customWidth="1"/>
    <col min="8977" max="8978" width="20.7109375" style="104" customWidth="1"/>
    <col min="8979" max="8980" width="6.7109375" style="104" customWidth="1"/>
    <col min="8981" max="8981" width="11.7109375" style="104" customWidth="1"/>
    <col min="8982" max="9216" width="9.140625" style="104"/>
    <col min="9217" max="9217" width="11.140625" style="104" customWidth="1"/>
    <col min="9218" max="9218" width="26.140625" style="104" customWidth="1"/>
    <col min="9219" max="9219" width="25.42578125" style="104" customWidth="1"/>
    <col min="9220" max="9220" width="26.28515625" style="104" customWidth="1"/>
    <col min="9221" max="9221" width="32.5703125" style="104" customWidth="1"/>
    <col min="9222" max="9222" width="8.42578125" style="104" customWidth="1"/>
    <col min="9223" max="9223" width="7.5703125" style="104" customWidth="1"/>
    <col min="9224" max="9224" width="32" style="104" customWidth="1"/>
    <col min="9225" max="9225" width="26" style="104" customWidth="1"/>
    <col min="9226" max="9226" width="8" style="104" customWidth="1"/>
    <col min="9227" max="9227" width="25" style="104" customWidth="1"/>
    <col min="9228" max="9229" width="8.140625" style="104" customWidth="1"/>
    <col min="9230" max="9230" width="10.85546875" style="104" customWidth="1"/>
    <col min="9231" max="9231" width="8.42578125" style="104" customWidth="1"/>
    <col min="9232" max="9232" width="26.5703125" style="104" customWidth="1"/>
    <col min="9233" max="9234" width="20.7109375" style="104" customWidth="1"/>
    <col min="9235" max="9236" width="6.7109375" style="104" customWidth="1"/>
    <col min="9237" max="9237" width="11.7109375" style="104" customWidth="1"/>
    <col min="9238" max="9472" width="9.140625" style="104"/>
    <col min="9473" max="9473" width="11.140625" style="104" customWidth="1"/>
    <col min="9474" max="9474" width="26.140625" style="104" customWidth="1"/>
    <col min="9475" max="9475" width="25.42578125" style="104" customWidth="1"/>
    <col min="9476" max="9476" width="26.28515625" style="104" customWidth="1"/>
    <col min="9477" max="9477" width="32.5703125" style="104" customWidth="1"/>
    <col min="9478" max="9478" width="8.42578125" style="104" customWidth="1"/>
    <col min="9479" max="9479" width="7.5703125" style="104" customWidth="1"/>
    <col min="9480" max="9480" width="32" style="104" customWidth="1"/>
    <col min="9481" max="9481" width="26" style="104" customWidth="1"/>
    <col min="9482" max="9482" width="8" style="104" customWidth="1"/>
    <col min="9483" max="9483" width="25" style="104" customWidth="1"/>
    <col min="9484" max="9485" width="8.140625" style="104" customWidth="1"/>
    <col min="9486" max="9486" width="10.85546875" style="104" customWidth="1"/>
    <col min="9487" max="9487" width="8.42578125" style="104" customWidth="1"/>
    <col min="9488" max="9488" width="26.5703125" style="104" customWidth="1"/>
    <col min="9489" max="9490" width="20.7109375" style="104" customWidth="1"/>
    <col min="9491" max="9492" width="6.7109375" style="104" customWidth="1"/>
    <col min="9493" max="9493" width="11.7109375" style="104" customWidth="1"/>
    <col min="9494" max="9728" width="9.140625" style="104"/>
    <col min="9729" max="9729" width="11.140625" style="104" customWidth="1"/>
    <col min="9730" max="9730" width="26.140625" style="104" customWidth="1"/>
    <col min="9731" max="9731" width="25.42578125" style="104" customWidth="1"/>
    <col min="9732" max="9732" width="26.28515625" style="104" customWidth="1"/>
    <col min="9733" max="9733" width="32.5703125" style="104" customWidth="1"/>
    <col min="9734" max="9734" width="8.42578125" style="104" customWidth="1"/>
    <col min="9735" max="9735" width="7.5703125" style="104" customWidth="1"/>
    <col min="9736" max="9736" width="32" style="104" customWidth="1"/>
    <col min="9737" max="9737" width="26" style="104" customWidth="1"/>
    <col min="9738" max="9738" width="8" style="104" customWidth="1"/>
    <col min="9739" max="9739" width="25" style="104" customWidth="1"/>
    <col min="9740" max="9741" width="8.140625" style="104" customWidth="1"/>
    <col min="9742" max="9742" width="10.85546875" style="104" customWidth="1"/>
    <col min="9743" max="9743" width="8.42578125" style="104" customWidth="1"/>
    <col min="9744" max="9744" width="26.5703125" style="104" customWidth="1"/>
    <col min="9745" max="9746" width="20.7109375" style="104" customWidth="1"/>
    <col min="9747" max="9748" width="6.7109375" style="104" customWidth="1"/>
    <col min="9749" max="9749" width="11.7109375" style="104" customWidth="1"/>
    <col min="9750" max="9984" width="9.140625" style="104"/>
    <col min="9985" max="9985" width="11.140625" style="104" customWidth="1"/>
    <col min="9986" max="9986" width="26.140625" style="104" customWidth="1"/>
    <col min="9987" max="9987" width="25.42578125" style="104" customWidth="1"/>
    <col min="9988" max="9988" width="26.28515625" style="104" customWidth="1"/>
    <col min="9989" max="9989" width="32.5703125" style="104" customWidth="1"/>
    <col min="9990" max="9990" width="8.42578125" style="104" customWidth="1"/>
    <col min="9991" max="9991" width="7.5703125" style="104" customWidth="1"/>
    <col min="9992" max="9992" width="32" style="104" customWidth="1"/>
    <col min="9993" max="9993" width="26" style="104" customWidth="1"/>
    <col min="9994" max="9994" width="8" style="104" customWidth="1"/>
    <col min="9995" max="9995" width="25" style="104" customWidth="1"/>
    <col min="9996" max="9997" width="8.140625" style="104" customWidth="1"/>
    <col min="9998" max="9998" width="10.85546875" style="104" customWidth="1"/>
    <col min="9999" max="9999" width="8.42578125" style="104" customWidth="1"/>
    <col min="10000" max="10000" width="26.5703125" style="104" customWidth="1"/>
    <col min="10001" max="10002" width="20.7109375" style="104" customWidth="1"/>
    <col min="10003" max="10004" width="6.7109375" style="104" customWidth="1"/>
    <col min="10005" max="10005" width="11.7109375" style="104" customWidth="1"/>
    <col min="10006" max="10240" width="9.140625" style="104"/>
    <col min="10241" max="10241" width="11.140625" style="104" customWidth="1"/>
    <col min="10242" max="10242" width="26.140625" style="104" customWidth="1"/>
    <col min="10243" max="10243" width="25.42578125" style="104" customWidth="1"/>
    <col min="10244" max="10244" width="26.28515625" style="104" customWidth="1"/>
    <col min="10245" max="10245" width="32.5703125" style="104" customWidth="1"/>
    <col min="10246" max="10246" width="8.42578125" style="104" customWidth="1"/>
    <col min="10247" max="10247" width="7.5703125" style="104" customWidth="1"/>
    <col min="10248" max="10248" width="32" style="104" customWidth="1"/>
    <col min="10249" max="10249" width="26" style="104" customWidth="1"/>
    <col min="10250" max="10250" width="8" style="104" customWidth="1"/>
    <col min="10251" max="10251" width="25" style="104" customWidth="1"/>
    <col min="10252" max="10253" width="8.140625" style="104" customWidth="1"/>
    <col min="10254" max="10254" width="10.85546875" style="104" customWidth="1"/>
    <col min="10255" max="10255" width="8.42578125" style="104" customWidth="1"/>
    <col min="10256" max="10256" width="26.5703125" style="104" customWidth="1"/>
    <col min="10257" max="10258" width="20.7109375" style="104" customWidth="1"/>
    <col min="10259" max="10260" width="6.7109375" style="104" customWidth="1"/>
    <col min="10261" max="10261" width="11.7109375" style="104" customWidth="1"/>
    <col min="10262" max="10496" width="9.140625" style="104"/>
    <col min="10497" max="10497" width="11.140625" style="104" customWidth="1"/>
    <col min="10498" max="10498" width="26.140625" style="104" customWidth="1"/>
    <col min="10499" max="10499" width="25.42578125" style="104" customWidth="1"/>
    <col min="10500" max="10500" width="26.28515625" style="104" customWidth="1"/>
    <col min="10501" max="10501" width="32.5703125" style="104" customWidth="1"/>
    <col min="10502" max="10502" width="8.42578125" style="104" customWidth="1"/>
    <col min="10503" max="10503" width="7.5703125" style="104" customWidth="1"/>
    <col min="10504" max="10504" width="32" style="104" customWidth="1"/>
    <col min="10505" max="10505" width="26" style="104" customWidth="1"/>
    <col min="10506" max="10506" width="8" style="104" customWidth="1"/>
    <col min="10507" max="10507" width="25" style="104" customWidth="1"/>
    <col min="10508" max="10509" width="8.140625" style="104" customWidth="1"/>
    <col min="10510" max="10510" width="10.85546875" style="104" customWidth="1"/>
    <col min="10511" max="10511" width="8.42578125" style="104" customWidth="1"/>
    <col min="10512" max="10512" width="26.5703125" style="104" customWidth="1"/>
    <col min="10513" max="10514" width="20.7109375" style="104" customWidth="1"/>
    <col min="10515" max="10516" width="6.7109375" style="104" customWidth="1"/>
    <col min="10517" max="10517" width="11.7109375" style="104" customWidth="1"/>
    <col min="10518" max="10752" width="9.140625" style="104"/>
    <col min="10753" max="10753" width="11.140625" style="104" customWidth="1"/>
    <col min="10754" max="10754" width="26.140625" style="104" customWidth="1"/>
    <col min="10755" max="10755" width="25.42578125" style="104" customWidth="1"/>
    <col min="10756" max="10756" width="26.28515625" style="104" customWidth="1"/>
    <col min="10757" max="10757" width="32.5703125" style="104" customWidth="1"/>
    <col min="10758" max="10758" width="8.42578125" style="104" customWidth="1"/>
    <col min="10759" max="10759" width="7.5703125" style="104" customWidth="1"/>
    <col min="10760" max="10760" width="32" style="104" customWidth="1"/>
    <col min="10761" max="10761" width="26" style="104" customWidth="1"/>
    <col min="10762" max="10762" width="8" style="104" customWidth="1"/>
    <col min="10763" max="10763" width="25" style="104" customWidth="1"/>
    <col min="10764" max="10765" width="8.140625" style="104" customWidth="1"/>
    <col min="10766" max="10766" width="10.85546875" style="104" customWidth="1"/>
    <col min="10767" max="10767" width="8.42578125" style="104" customWidth="1"/>
    <col min="10768" max="10768" width="26.5703125" style="104" customWidth="1"/>
    <col min="10769" max="10770" width="20.7109375" style="104" customWidth="1"/>
    <col min="10771" max="10772" width="6.7109375" style="104" customWidth="1"/>
    <col min="10773" max="10773" width="11.7109375" style="104" customWidth="1"/>
    <col min="10774" max="11008" width="9.140625" style="104"/>
    <col min="11009" max="11009" width="11.140625" style="104" customWidth="1"/>
    <col min="11010" max="11010" width="26.140625" style="104" customWidth="1"/>
    <col min="11011" max="11011" width="25.42578125" style="104" customWidth="1"/>
    <col min="11012" max="11012" width="26.28515625" style="104" customWidth="1"/>
    <col min="11013" max="11013" width="32.5703125" style="104" customWidth="1"/>
    <col min="11014" max="11014" width="8.42578125" style="104" customWidth="1"/>
    <col min="11015" max="11015" width="7.5703125" style="104" customWidth="1"/>
    <col min="11016" max="11016" width="32" style="104" customWidth="1"/>
    <col min="11017" max="11017" width="26" style="104" customWidth="1"/>
    <col min="11018" max="11018" width="8" style="104" customWidth="1"/>
    <col min="11019" max="11019" width="25" style="104" customWidth="1"/>
    <col min="11020" max="11021" width="8.140625" style="104" customWidth="1"/>
    <col min="11022" max="11022" width="10.85546875" style="104" customWidth="1"/>
    <col min="11023" max="11023" width="8.42578125" style="104" customWidth="1"/>
    <col min="11024" max="11024" width="26.5703125" style="104" customWidth="1"/>
    <col min="11025" max="11026" width="20.7109375" style="104" customWidth="1"/>
    <col min="11027" max="11028" width="6.7109375" style="104" customWidth="1"/>
    <col min="11029" max="11029" width="11.7109375" style="104" customWidth="1"/>
    <col min="11030" max="11264" width="9.140625" style="104"/>
    <col min="11265" max="11265" width="11.140625" style="104" customWidth="1"/>
    <col min="11266" max="11266" width="26.140625" style="104" customWidth="1"/>
    <col min="11267" max="11267" width="25.42578125" style="104" customWidth="1"/>
    <col min="11268" max="11268" width="26.28515625" style="104" customWidth="1"/>
    <col min="11269" max="11269" width="32.5703125" style="104" customWidth="1"/>
    <col min="11270" max="11270" width="8.42578125" style="104" customWidth="1"/>
    <col min="11271" max="11271" width="7.5703125" style="104" customWidth="1"/>
    <col min="11272" max="11272" width="32" style="104" customWidth="1"/>
    <col min="11273" max="11273" width="26" style="104" customWidth="1"/>
    <col min="11274" max="11274" width="8" style="104" customWidth="1"/>
    <col min="11275" max="11275" width="25" style="104" customWidth="1"/>
    <col min="11276" max="11277" width="8.140625" style="104" customWidth="1"/>
    <col min="11278" max="11278" width="10.85546875" style="104" customWidth="1"/>
    <col min="11279" max="11279" width="8.42578125" style="104" customWidth="1"/>
    <col min="11280" max="11280" width="26.5703125" style="104" customWidth="1"/>
    <col min="11281" max="11282" width="20.7109375" style="104" customWidth="1"/>
    <col min="11283" max="11284" width="6.7109375" style="104" customWidth="1"/>
    <col min="11285" max="11285" width="11.7109375" style="104" customWidth="1"/>
    <col min="11286" max="11520" width="9.140625" style="104"/>
    <col min="11521" max="11521" width="11.140625" style="104" customWidth="1"/>
    <col min="11522" max="11522" width="26.140625" style="104" customWidth="1"/>
    <col min="11523" max="11523" width="25.42578125" style="104" customWidth="1"/>
    <col min="11524" max="11524" width="26.28515625" style="104" customWidth="1"/>
    <col min="11525" max="11525" width="32.5703125" style="104" customWidth="1"/>
    <col min="11526" max="11526" width="8.42578125" style="104" customWidth="1"/>
    <col min="11527" max="11527" width="7.5703125" style="104" customWidth="1"/>
    <col min="11528" max="11528" width="32" style="104" customWidth="1"/>
    <col min="11529" max="11529" width="26" style="104" customWidth="1"/>
    <col min="11530" max="11530" width="8" style="104" customWidth="1"/>
    <col min="11531" max="11531" width="25" style="104" customWidth="1"/>
    <col min="11532" max="11533" width="8.140625" style="104" customWidth="1"/>
    <col min="11534" max="11534" width="10.85546875" style="104" customWidth="1"/>
    <col min="11535" max="11535" width="8.42578125" style="104" customWidth="1"/>
    <col min="11536" max="11536" width="26.5703125" style="104" customWidth="1"/>
    <col min="11537" max="11538" width="20.7109375" style="104" customWidth="1"/>
    <col min="11539" max="11540" width="6.7109375" style="104" customWidth="1"/>
    <col min="11541" max="11541" width="11.7109375" style="104" customWidth="1"/>
    <col min="11542" max="11776" width="9.140625" style="104"/>
    <col min="11777" max="11777" width="11.140625" style="104" customWidth="1"/>
    <col min="11778" max="11778" width="26.140625" style="104" customWidth="1"/>
    <col min="11779" max="11779" width="25.42578125" style="104" customWidth="1"/>
    <col min="11780" max="11780" width="26.28515625" style="104" customWidth="1"/>
    <col min="11781" max="11781" width="32.5703125" style="104" customWidth="1"/>
    <col min="11782" max="11782" width="8.42578125" style="104" customWidth="1"/>
    <col min="11783" max="11783" width="7.5703125" style="104" customWidth="1"/>
    <col min="11784" max="11784" width="32" style="104" customWidth="1"/>
    <col min="11785" max="11785" width="26" style="104" customWidth="1"/>
    <col min="11786" max="11786" width="8" style="104" customWidth="1"/>
    <col min="11787" max="11787" width="25" style="104" customWidth="1"/>
    <col min="11788" max="11789" width="8.140625" style="104" customWidth="1"/>
    <col min="11790" max="11790" width="10.85546875" style="104" customWidth="1"/>
    <col min="11791" max="11791" width="8.42578125" style="104" customWidth="1"/>
    <col min="11792" max="11792" width="26.5703125" style="104" customWidth="1"/>
    <col min="11793" max="11794" width="20.7109375" style="104" customWidth="1"/>
    <col min="11795" max="11796" width="6.7109375" style="104" customWidth="1"/>
    <col min="11797" max="11797" width="11.7109375" style="104" customWidth="1"/>
    <col min="11798" max="12032" width="9.140625" style="104"/>
    <col min="12033" max="12033" width="11.140625" style="104" customWidth="1"/>
    <col min="12034" max="12034" width="26.140625" style="104" customWidth="1"/>
    <col min="12035" max="12035" width="25.42578125" style="104" customWidth="1"/>
    <col min="12036" max="12036" width="26.28515625" style="104" customWidth="1"/>
    <col min="12037" max="12037" width="32.5703125" style="104" customWidth="1"/>
    <col min="12038" max="12038" width="8.42578125" style="104" customWidth="1"/>
    <col min="12039" max="12039" width="7.5703125" style="104" customWidth="1"/>
    <col min="12040" max="12040" width="32" style="104" customWidth="1"/>
    <col min="12041" max="12041" width="26" style="104" customWidth="1"/>
    <col min="12042" max="12042" width="8" style="104" customWidth="1"/>
    <col min="12043" max="12043" width="25" style="104" customWidth="1"/>
    <col min="12044" max="12045" width="8.140625" style="104" customWidth="1"/>
    <col min="12046" max="12046" width="10.85546875" style="104" customWidth="1"/>
    <col min="12047" max="12047" width="8.42578125" style="104" customWidth="1"/>
    <col min="12048" max="12048" width="26.5703125" style="104" customWidth="1"/>
    <col min="12049" max="12050" width="20.7109375" style="104" customWidth="1"/>
    <col min="12051" max="12052" width="6.7109375" style="104" customWidth="1"/>
    <col min="12053" max="12053" width="11.7109375" style="104" customWidth="1"/>
    <col min="12054" max="12288" width="9.140625" style="104"/>
    <col min="12289" max="12289" width="11.140625" style="104" customWidth="1"/>
    <col min="12290" max="12290" width="26.140625" style="104" customWidth="1"/>
    <col min="12291" max="12291" width="25.42578125" style="104" customWidth="1"/>
    <col min="12292" max="12292" width="26.28515625" style="104" customWidth="1"/>
    <col min="12293" max="12293" width="32.5703125" style="104" customWidth="1"/>
    <col min="12294" max="12294" width="8.42578125" style="104" customWidth="1"/>
    <col min="12295" max="12295" width="7.5703125" style="104" customWidth="1"/>
    <col min="12296" max="12296" width="32" style="104" customWidth="1"/>
    <col min="12297" max="12297" width="26" style="104" customWidth="1"/>
    <col min="12298" max="12298" width="8" style="104" customWidth="1"/>
    <col min="12299" max="12299" width="25" style="104" customWidth="1"/>
    <col min="12300" max="12301" width="8.140625" style="104" customWidth="1"/>
    <col min="12302" max="12302" width="10.85546875" style="104" customWidth="1"/>
    <col min="12303" max="12303" width="8.42578125" style="104" customWidth="1"/>
    <col min="12304" max="12304" width="26.5703125" style="104" customWidth="1"/>
    <col min="12305" max="12306" width="20.7109375" style="104" customWidth="1"/>
    <col min="12307" max="12308" width="6.7109375" style="104" customWidth="1"/>
    <col min="12309" max="12309" width="11.7109375" style="104" customWidth="1"/>
    <col min="12310" max="12544" width="9.140625" style="104"/>
    <col min="12545" max="12545" width="11.140625" style="104" customWidth="1"/>
    <col min="12546" max="12546" width="26.140625" style="104" customWidth="1"/>
    <col min="12547" max="12547" width="25.42578125" style="104" customWidth="1"/>
    <col min="12548" max="12548" width="26.28515625" style="104" customWidth="1"/>
    <col min="12549" max="12549" width="32.5703125" style="104" customWidth="1"/>
    <col min="12550" max="12550" width="8.42578125" style="104" customWidth="1"/>
    <col min="12551" max="12551" width="7.5703125" style="104" customWidth="1"/>
    <col min="12552" max="12552" width="32" style="104" customWidth="1"/>
    <col min="12553" max="12553" width="26" style="104" customWidth="1"/>
    <col min="12554" max="12554" width="8" style="104" customWidth="1"/>
    <col min="12555" max="12555" width="25" style="104" customWidth="1"/>
    <col min="12556" max="12557" width="8.140625" style="104" customWidth="1"/>
    <col min="12558" max="12558" width="10.85546875" style="104" customWidth="1"/>
    <col min="12559" max="12559" width="8.42578125" style="104" customWidth="1"/>
    <col min="12560" max="12560" width="26.5703125" style="104" customWidth="1"/>
    <col min="12561" max="12562" width="20.7109375" style="104" customWidth="1"/>
    <col min="12563" max="12564" width="6.7109375" style="104" customWidth="1"/>
    <col min="12565" max="12565" width="11.7109375" style="104" customWidth="1"/>
    <col min="12566" max="12800" width="9.140625" style="104"/>
    <col min="12801" max="12801" width="11.140625" style="104" customWidth="1"/>
    <col min="12802" max="12802" width="26.140625" style="104" customWidth="1"/>
    <col min="12803" max="12803" width="25.42578125" style="104" customWidth="1"/>
    <col min="12804" max="12804" width="26.28515625" style="104" customWidth="1"/>
    <col min="12805" max="12805" width="32.5703125" style="104" customWidth="1"/>
    <col min="12806" max="12806" width="8.42578125" style="104" customWidth="1"/>
    <col min="12807" max="12807" width="7.5703125" style="104" customWidth="1"/>
    <col min="12808" max="12808" width="32" style="104" customWidth="1"/>
    <col min="12809" max="12809" width="26" style="104" customWidth="1"/>
    <col min="12810" max="12810" width="8" style="104" customWidth="1"/>
    <col min="12811" max="12811" width="25" style="104" customWidth="1"/>
    <col min="12812" max="12813" width="8.140625" style="104" customWidth="1"/>
    <col min="12814" max="12814" width="10.85546875" style="104" customWidth="1"/>
    <col min="12815" max="12815" width="8.42578125" style="104" customWidth="1"/>
    <col min="12816" max="12816" width="26.5703125" style="104" customWidth="1"/>
    <col min="12817" max="12818" width="20.7109375" style="104" customWidth="1"/>
    <col min="12819" max="12820" width="6.7109375" style="104" customWidth="1"/>
    <col min="12821" max="12821" width="11.7109375" style="104" customWidth="1"/>
    <col min="12822" max="13056" width="9.140625" style="104"/>
    <col min="13057" max="13057" width="11.140625" style="104" customWidth="1"/>
    <col min="13058" max="13058" width="26.140625" style="104" customWidth="1"/>
    <col min="13059" max="13059" width="25.42578125" style="104" customWidth="1"/>
    <col min="13060" max="13060" width="26.28515625" style="104" customWidth="1"/>
    <col min="13061" max="13061" width="32.5703125" style="104" customWidth="1"/>
    <col min="13062" max="13062" width="8.42578125" style="104" customWidth="1"/>
    <col min="13063" max="13063" width="7.5703125" style="104" customWidth="1"/>
    <col min="13064" max="13064" width="32" style="104" customWidth="1"/>
    <col min="13065" max="13065" width="26" style="104" customWidth="1"/>
    <col min="13066" max="13066" width="8" style="104" customWidth="1"/>
    <col min="13067" max="13067" width="25" style="104" customWidth="1"/>
    <col min="13068" max="13069" width="8.140625" style="104" customWidth="1"/>
    <col min="13070" max="13070" width="10.85546875" style="104" customWidth="1"/>
    <col min="13071" max="13071" width="8.42578125" style="104" customWidth="1"/>
    <col min="13072" max="13072" width="26.5703125" style="104" customWidth="1"/>
    <col min="13073" max="13074" width="20.7109375" style="104" customWidth="1"/>
    <col min="13075" max="13076" width="6.7109375" style="104" customWidth="1"/>
    <col min="13077" max="13077" width="11.7109375" style="104" customWidth="1"/>
    <col min="13078" max="13312" width="9.140625" style="104"/>
    <col min="13313" max="13313" width="11.140625" style="104" customWidth="1"/>
    <col min="13314" max="13314" width="26.140625" style="104" customWidth="1"/>
    <col min="13315" max="13315" width="25.42578125" style="104" customWidth="1"/>
    <col min="13316" max="13316" width="26.28515625" style="104" customWidth="1"/>
    <col min="13317" max="13317" width="32.5703125" style="104" customWidth="1"/>
    <col min="13318" max="13318" width="8.42578125" style="104" customWidth="1"/>
    <col min="13319" max="13319" width="7.5703125" style="104" customWidth="1"/>
    <col min="13320" max="13320" width="32" style="104" customWidth="1"/>
    <col min="13321" max="13321" width="26" style="104" customWidth="1"/>
    <col min="13322" max="13322" width="8" style="104" customWidth="1"/>
    <col min="13323" max="13323" width="25" style="104" customWidth="1"/>
    <col min="13324" max="13325" width="8.140625" style="104" customWidth="1"/>
    <col min="13326" max="13326" width="10.85546875" style="104" customWidth="1"/>
    <col min="13327" max="13327" width="8.42578125" style="104" customWidth="1"/>
    <col min="13328" max="13328" width="26.5703125" style="104" customWidth="1"/>
    <col min="13329" max="13330" width="20.7109375" style="104" customWidth="1"/>
    <col min="13331" max="13332" width="6.7109375" style="104" customWidth="1"/>
    <col min="13333" max="13333" width="11.7109375" style="104" customWidth="1"/>
    <col min="13334" max="13568" width="9.140625" style="104"/>
    <col min="13569" max="13569" width="11.140625" style="104" customWidth="1"/>
    <col min="13570" max="13570" width="26.140625" style="104" customWidth="1"/>
    <col min="13571" max="13571" width="25.42578125" style="104" customWidth="1"/>
    <col min="13572" max="13572" width="26.28515625" style="104" customWidth="1"/>
    <col min="13573" max="13573" width="32.5703125" style="104" customWidth="1"/>
    <col min="13574" max="13574" width="8.42578125" style="104" customWidth="1"/>
    <col min="13575" max="13575" width="7.5703125" style="104" customWidth="1"/>
    <col min="13576" max="13576" width="32" style="104" customWidth="1"/>
    <col min="13577" max="13577" width="26" style="104" customWidth="1"/>
    <col min="13578" max="13578" width="8" style="104" customWidth="1"/>
    <col min="13579" max="13579" width="25" style="104" customWidth="1"/>
    <col min="13580" max="13581" width="8.140625" style="104" customWidth="1"/>
    <col min="13582" max="13582" width="10.85546875" style="104" customWidth="1"/>
    <col min="13583" max="13583" width="8.42578125" style="104" customWidth="1"/>
    <col min="13584" max="13584" width="26.5703125" style="104" customWidth="1"/>
    <col min="13585" max="13586" width="20.7109375" style="104" customWidth="1"/>
    <col min="13587" max="13588" width="6.7109375" style="104" customWidth="1"/>
    <col min="13589" max="13589" width="11.7109375" style="104" customWidth="1"/>
    <col min="13590" max="13824" width="9.140625" style="104"/>
    <col min="13825" max="13825" width="11.140625" style="104" customWidth="1"/>
    <col min="13826" max="13826" width="26.140625" style="104" customWidth="1"/>
    <col min="13827" max="13827" width="25.42578125" style="104" customWidth="1"/>
    <col min="13828" max="13828" width="26.28515625" style="104" customWidth="1"/>
    <col min="13829" max="13829" width="32.5703125" style="104" customWidth="1"/>
    <col min="13830" max="13830" width="8.42578125" style="104" customWidth="1"/>
    <col min="13831" max="13831" width="7.5703125" style="104" customWidth="1"/>
    <col min="13832" max="13832" width="32" style="104" customWidth="1"/>
    <col min="13833" max="13833" width="26" style="104" customWidth="1"/>
    <col min="13834" max="13834" width="8" style="104" customWidth="1"/>
    <col min="13835" max="13835" width="25" style="104" customWidth="1"/>
    <col min="13836" max="13837" width="8.140625" style="104" customWidth="1"/>
    <col min="13838" max="13838" width="10.85546875" style="104" customWidth="1"/>
    <col min="13839" max="13839" width="8.42578125" style="104" customWidth="1"/>
    <col min="13840" max="13840" width="26.5703125" style="104" customWidth="1"/>
    <col min="13841" max="13842" width="20.7109375" style="104" customWidth="1"/>
    <col min="13843" max="13844" width="6.7109375" style="104" customWidth="1"/>
    <col min="13845" max="13845" width="11.7109375" style="104" customWidth="1"/>
    <col min="13846" max="14080" width="9.140625" style="104"/>
    <col min="14081" max="14081" width="11.140625" style="104" customWidth="1"/>
    <col min="14082" max="14082" width="26.140625" style="104" customWidth="1"/>
    <col min="14083" max="14083" width="25.42578125" style="104" customWidth="1"/>
    <col min="14084" max="14084" width="26.28515625" style="104" customWidth="1"/>
    <col min="14085" max="14085" width="32.5703125" style="104" customWidth="1"/>
    <col min="14086" max="14086" width="8.42578125" style="104" customWidth="1"/>
    <col min="14087" max="14087" width="7.5703125" style="104" customWidth="1"/>
    <col min="14088" max="14088" width="32" style="104" customWidth="1"/>
    <col min="14089" max="14089" width="26" style="104" customWidth="1"/>
    <col min="14090" max="14090" width="8" style="104" customWidth="1"/>
    <col min="14091" max="14091" width="25" style="104" customWidth="1"/>
    <col min="14092" max="14093" width="8.140625" style="104" customWidth="1"/>
    <col min="14094" max="14094" width="10.85546875" style="104" customWidth="1"/>
    <col min="14095" max="14095" width="8.42578125" style="104" customWidth="1"/>
    <col min="14096" max="14096" width="26.5703125" style="104" customWidth="1"/>
    <col min="14097" max="14098" width="20.7109375" style="104" customWidth="1"/>
    <col min="14099" max="14100" width="6.7109375" style="104" customWidth="1"/>
    <col min="14101" max="14101" width="11.7109375" style="104" customWidth="1"/>
    <col min="14102" max="14336" width="9.140625" style="104"/>
    <col min="14337" max="14337" width="11.140625" style="104" customWidth="1"/>
    <col min="14338" max="14338" width="26.140625" style="104" customWidth="1"/>
    <col min="14339" max="14339" width="25.42578125" style="104" customWidth="1"/>
    <col min="14340" max="14340" width="26.28515625" style="104" customWidth="1"/>
    <col min="14341" max="14341" width="32.5703125" style="104" customWidth="1"/>
    <col min="14342" max="14342" width="8.42578125" style="104" customWidth="1"/>
    <col min="14343" max="14343" width="7.5703125" style="104" customWidth="1"/>
    <col min="14344" max="14344" width="32" style="104" customWidth="1"/>
    <col min="14345" max="14345" width="26" style="104" customWidth="1"/>
    <col min="14346" max="14346" width="8" style="104" customWidth="1"/>
    <col min="14347" max="14347" width="25" style="104" customWidth="1"/>
    <col min="14348" max="14349" width="8.140625" style="104" customWidth="1"/>
    <col min="14350" max="14350" width="10.85546875" style="104" customWidth="1"/>
    <col min="14351" max="14351" width="8.42578125" style="104" customWidth="1"/>
    <col min="14352" max="14352" width="26.5703125" style="104" customWidth="1"/>
    <col min="14353" max="14354" width="20.7109375" style="104" customWidth="1"/>
    <col min="14355" max="14356" width="6.7109375" style="104" customWidth="1"/>
    <col min="14357" max="14357" width="11.7109375" style="104" customWidth="1"/>
    <col min="14358" max="14592" width="9.140625" style="104"/>
    <col min="14593" max="14593" width="11.140625" style="104" customWidth="1"/>
    <col min="14594" max="14594" width="26.140625" style="104" customWidth="1"/>
    <col min="14595" max="14595" width="25.42578125" style="104" customWidth="1"/>
    <col min="14596" max="14596" width="26.28515625" style="104" customWidth="1"/>
    <col min="14597" max="14597" width="32.5703125" style="104" customWidth="1"/>
    <col min="14598" max="14598" width="8.42578125" style="104" customWidth="1"/>
    <col min="14599" max="14599" width="7.5703125" style="104" customWidth="1"/>
    <col min="14600" max="14600" width="32" style="104" customWidth="1"/>
    <col min="14601" max="14601" width="26" style="104" customWidth="1"/>
    <col min="14602" max="14602" width="8" style="104" customWidth="1"/>
    <col min="14603" max="14603" width="25" style="104" customWidth="1"/>
    <col min="14604" max="14605" width="8.140625" style="104" customWidth="1"/>
    <col min="14606" max="14606" width="10.85546875" style="104" customWidth="1"/>
    <col min="14607" max="14607" width="8.42578125" style="104" customWidth="1"/>
    <col min="14608" max="14608" width="26.5703125" style="104" customWidth="1"/>
    <col min="14609" max="14610" width="20.7109375" style="104" customWidth="1"/>
    <col min="14611" max="14612" width="6.7109375" style="104" customWidth="1"/>
    <col min="14613" max="14613" width="11.7109375" style="104" customWidth="1"/>
    <col min="14614" max="14848" width="9.140625" style="104"/>
    <col min="14849" max="14849" width="11.140625" style="104" customWidth="1"/>
    <col min="14850" max="14850" width="26.140625" style="104" customWidth="1"/>
    <col min="14851" max="14851" width="25.42578125" style="104" customWidth="1"/>
    <col min="14852" max="14852" width="26.28515625" style="104" customWidth="1"/>
    <col min="14853" max="14853" width="32.5703125" style="104" customWidth="1"/>
    <col min="14854" max="14854" width="8.42578125" style="104" customWidth="1"/>
    <col min="14855" max="14855" width="7.5703125" style="104" customWidth="1"/>
    <col min="14856" max="14856" width="32" style="104" customWidth="1"/>
    <col min="14857" max="14857" width="26" style="104" customWidth="1"/>
    <col min="14858" max="14858" width="8" style="104" customWidth="1"/>
    <col min="14859" max="14859" width="25" style="104" customWidth="1"/>
    <col min="14860" max="14861" width="8.140625" style="104" customWidth="1"/>
    <col min="14862" max="14862" width="10.85546875" style="104" customWidth="1"/>
    <col min="14863" max="14863" width="8.42578125" style="104" customWidth="1"/>
    <col min="14864" max="14864" width="26.5703125" style="104" customWidth="1"/>
    <col min="14865" max="14866" width="20.7109375" style="104" customWidth="1"/>
    <col min="14867" max="14868" width="6.7109375" style="104" customWidth="1"/>
    <col min="14869" max="14869" width="11.7109375" style="104" customWidth="1"/>
    <col min="14870" max="15104" width="9.140625" style="104"/>
    <col min="15105" max="15105" width="11.140625" style="104" customWidth="1"/>
    <col min="15106" max="15106" width="26.140625" style="104" customWidth="1"/>
    <col min="15107" max="15107" width="25.42578125" style="104" customWidth="1"/>
    <col min="15108" max="15108" width="26.28515625" style="104" customWidth="1"/>
    <col min="15109" max="15109" width="32.5703125" style="104" customWidth="1"/>
    <col min="15110" max="15110" width="8.42578125" style="104" customWidth="1"/>
    <col min="15111" max="15111" width="7.5703125" style="104" customWidth="1"/>
    <col min="15112" max="15112" width="32" style="104" customWidth="1"/>
    <col min="15113" max="15113" width="26" style="104" customWidth="1"/>
    <col min="15114" max="15114" width="8" style="104" customWidth="1"/>
    <col min="15115" max="15115" width="25" style="104" customWidth="1"/>
    <col min="15116" max="15117" width="8.140625" style="104" customWidth="1"/>
    <col min="15118" max="15118" width="10.85546875" style="104" customWidth="1"/>
    <col min="15119" max="15119" width="8.42578125" style="104" customWidth="1"/>
    <col min="15120" max="15120" width="26.5703125" style="104" customWidth="1"/>
    <col min="15121" max="15122" width="20.7109375" style="104" customWidth="1"/>
    <col min="15123" max="15124" width="6.7109375" style="104" customWidth="1"/>
    <col min="15125" max="15125" width="11.7109375" style="104" customWidth="1"/>
    <col min="15126" max="15360" width="9.140625" style="104"/>
    <col min="15361" max="15361" width="11.140625" style="104" customWidth="1"/>
    <col min="15362" max="15362" width="26.140625" style="104" customWidth="1"/>
    <col min="15363" max="15363" width="25.42578125" style="104" customWidth="1"/>
    <col min="15364" max="15364" width="26.28515625" style="104" customWidth="1"/>
    <col min="15365" max="15365" width="32.5703125" style="104" customWidth="1"/>
    <col min="15366" max="15366" width="8.42578125" style="104" customWidth="1"/>
    <col min="15367" max="15367" width="7.5703125" style="104" customWidth="1"/>
    <col min="15368" max="15368" width="32" style="104" customWidth="1"/>
    <col min="15369" max="15369" width="26" style="104" customWidth="1"/>
    <col min="15370" max="15370" width="8" style="104" customWidth="1"/>
    <col min="15371" max="15371" width="25" style="104" customWidth="1"/>
    <col min="15372" max="15373" width="8.140625" style="104" customWidth="1"/>
    <col min="15374" max="15374" width="10.85546875" style="104" customWidth="1"/>
    <col min="15375" max="15375" width="8.42578125" style="104" customWidth="1"/>
    <col min="15376" max="15376" width="26.5703125" style="104" customWidth="1"/>
    <col min="15377" max="15378" width="20.7109375" style="104" customWidth="1"/>
    <col min="15379" max="15380" width="6.7109375" style="104" customWidth="1"/>
    <col min="15381" max="15381" width="11.7109375" style="104" customWidth="1"/>
    <col min="15382" max="15616" width="9.140625" style="104"/>
    <col min="15617" max="15617" width="11.140625" style="104" customWidth="1"/>
    <col min="15618" max="15618" width="26.140625" style="104" customWidth="1"/>
    <col min="15619" max="15619" width="25.42578125" style="104" customWidth="1"/>
    <col min="15620" max="15620" width="26.28515625" style="104" customWidth="1"/>
    <col min="15621" max="15621" width="32.5703125" style="104" customWidth="1"/>
    <col min="15622" max="15622" width="8.42578125" style="104" customWidth="1"/>
    <col min="15623" max="15623" width="7.5703125" style="104" customWidth="1"/>
    <col min="15624" max="15624" width="32" style="104" customWidth="1"/>
    <col min="15625" max="15625" width="26" style="104" customWidth="1"/>
    <col min="15626" max="15626" width="8" style="104" customWidth="1"/>
    <col min="15627" max="15627" width="25" style="104" customWidth="1"/>
    <col min="15628" max="15629" width="8.140625" style="104" customWidth="1"/>
    <col min="15630" max="15630" width="10.85546875" style="104" customWidth="1"/>
    <col min="15631" max="15631" width="8.42578125" style="104" customWidth="1"/>
    <col min="15632" max="15632" width="26.5703125" style="104" customWidth="1"/>
    <col min="15633" max="15634" width="20.7109375" style="104" customWidth="1"/>
    <col min="15635" max="15636" width="6.7109375" style="104" customWidth="1"/>
    <col min="15637" max="15637" width="11.7109375" style="104" customWidth="1"/>
    <col min="15638" max="15872" width="9.140625" style="104"/>
    <col min="15873" max="15873" width="11.140625" style="104" customWidth="1"/>
    <col min="15874" max="15874" width="26.140625" style="104" customWidth="1"/>
    <col min="15875" max="15875" width="25.42578125" style="104" customWidth="1"/>
    <col min="15876" max="15876" width="26.28515625" style="104" customWidth="1"/>
    <col min="15877" max="15877" width="32.5703125" style="104" customWidth="1"/>
    <col min="15878" max="15878" width="8.42578125" style="104" customWidth="1"/>
    <col min="15879" max="15879" width="7.5703125" style="104" customWidth="1"/>
    <col min="15880" max="15880" width="32" style="104" customWidth="1"/>
    <col min="15881" max="15881" width="26" style="104" customWidth="1"/>
    <col min="15882" max="15882" width="8" style="104" customWidth="1"/>
    <col min="15883" max="15883" width="25" style="104" customWidth="1"/>
    <col min="15884" max="15885" width="8.140625" style="104" customWidth="1"/>
    <col min="15886" max="15886" width="10.85546875" style="104" customWidth="1"/>
    <col min="15887" max="15887" width="8.42578125" style="104" customWidth="1"/>
    <col min="15888" max="15888" width="26.5703125" style="104" customWidth="1"/>
    <col min="15889" max="15890" width="20.7109375" style="104" customWidth="1"/>
    <col min="15891" max="15892" width="6.7109375" style="104" customWidth="1"/>
    <col min="15893" max="15893" width="11.7109375" style="104" customWidth="1"/>
    <col min="15894" max="16128" width="9.140625" style="104"/>
    <col min="16129" max="16129" width="11.140625" style="104" customWidth="1"/>
    <col min="16130" max="16130" width="26.140625" style="104" customWidth="1"/>
    <col min="16131" max="16131" width="25.42578125" style="104" customWidth="1"/>
    <col min="16132" max="16132" width="26.28515625" style="104" customWidth="1"/>
    <col min="16133" max="16133" width="32.5703125" style="104" customWidth="1"/>
    <col min="16134" max="16134" width="8.42578125" style="104" customWidth="1"/>
    <col min="16135" max="16135" width="7.5703125" style="104" customWidth="1"/>
    <col min="16136" max="16136" width="32" style="104" customWidth="1"/>
    <col min="16137" max="16137" width="26" style="104" customWidth="1"/>
    <col min="16138" max="16138" width="8" style="104" customWidth="1"/>
    <col min="16139" max="16139" width="25" style="104" customWidth="1"/>
    <col min="16140" max="16141" width="8.140625" style="104" customWidth="1"/>
    <col min="16142" max="16142" width="10.85546875" style="104" customWidth="1"/>
    <col min="16143" max="16143" width="8.42578125" style="104" customWidth="1"/>
    <col min="16144" max="16144" width="26.5703125" style="104" customWidth="1"/>
    <col min="16145" max="16146" width="20.7109375" style="104" customWidth="1"/>
    <col min="16147" max="16148" width="6.7109375" style="104" customWidth="1"/>
    <col min="16149" max="16149" width="11.7109375" style="104" customWidth="1"/>
    <col min="16150" max="16384" width="9.140625" style="104"/>
  </cols>
  <sheetData>
    <row r="1" spans="1:256" ht="35.1" customHeight="1">
      <c r="A1" s="700" t="s">
        <v>103</v>
      </c>
      <c r="B1" s="701"/>
      <c r="C1" s="701"/>
      <c r="D1" s="701"/>
      <c r="E1" s="702"/>
      <c r="F1" s="709" t="s">
        <v>104</v>
      </c>
      <c r="G1" s="710"/>
      <c r="H1" s="710"/>
      <c r="I1" s="710"/>
      <c r="J1" s="710"/>
      <c r="K1" s="710"/>
      <c r="L1" s="710"/>
      <c r="M1" s="710"/>
      <c r="N1" s="710"/>
      <c r="O1" s="711"/>
      <c r="P1" s="662" t="s">
        <v>105</v>
      </c>
      <c r="Q1" s="663"/>
      <c r="R1" s="663"/>
      <c r="S1" s="663"/>
      <c r="T1" s="663"/>
      <c r="U1" s="663"/>
      <c r="V1" s="664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3"/>
      <c r="EQ1" s="103"/>
      <c r="ER1" s="103"/>
      <c r="ES1" s="103"/>
      <c r="ET1" s="103"/>
      <c r="EU1" s="103"/>
      <c r="EV1" s="103"/>
      <c r="EW1" s="103"/>
      <c r="EX1" s="103"/>
      <c r="EY1" s="103"/>
      <c r="EZ1" s="103"/>
      <c r="FA1" s="103"/>
      <c r="FB1" s="103"/>
      <c r="FC1" s="103"/>
      <c r="FD1" s="103"/>
      <c r="FE1" s="103"/>
      <c r="FF1" s="103"/>
      <c r="FG1" s="103"/>
      <c r="FH1" s="103"/>
      <c r="FI1" s="103"/>
      <c r="FJ1" s="103"/>
      <c r="FK1" s="103"/>
      <c r="FL1" s="103"/>
      <c r="FM1" s="103"/>
      <c r="FN1" s="103"/>
      <c r="FO1" s="103"/>
      <c r="FP1" s="103"/>
      <c r="FQ1" s="103"/>
      <c r="FR1" s="103"/>
      <c r="FS1" s="103"/>
      <c r="FT1" s="103"/>
      <c r="FU1" s="103"/>
      <c r="FV1" s="103"/>
      <c r="FW1" s="103"/>
      <c r="FX1" s="103"/>
      <c r="FY1" s="103"/>
      <c r="FZ1" s="103"/>
      <c r="GA1" s="103"/>
      <c r="GB1" s="103"/>
      <c r="GC1" s="103"/>
      <c r="GD1" s="103"/>
      <c r="GE1" s="103"/>
      <c r="GF1" s="103"/>
      <c r="GG1" s="103"/>
      <c r="GH1" s="103"/>
      <c r="GI1" s="103"/>
      <c r="GJ1" s="103"/>
      <c r="GK1" s="103"/>
      <c r="GL1" s="103"/>
      <c r="GM1" s="103"/>
      <c r="GN1" s="103"/>
      <c r="GO1" s="103"/>
      <c r="GP1" s="103"/>
      <c r="GQ1" s="103"/>
      <c r="GR1" s="103"/>
      <c r="GS1" s="103"/>
      <c r="GT1" s="103"/>
      <c r="GU1" s="103"/>
      <c r="GV1" s="103"/>
      <c r="GW1" s="103"/>
      <c r="GX1" s="103"/>
      <c r="GY1" s="103"/>
      <c r="GZ1" s="103"/>
      <c r="HA1" s="103"/>
      <c r="HB1" s="103"/>
      <c r="HC1" s="103"/>
      <c r="HD1" s="103"/>
      <c r="HE1" s="103"/>
      <c r="HF1" s="103"/>
      <c r="HG1" s="103"/>
      <c r="HH1" s="103"/>
      <c r="HI1" s="103"/>
      <c r="HJ1" s="103"/>
      <c r="HK1" s="103"/>
      <c r="HL1" s="103"/>
      <c r="HM1" s="103"/>
      <c r="HN1" s="103"/>
      <c r="HO1" s="103"/>
      <c r="HP1" s="103"/>
      <c r="HQ1" s="103"/>
      <c r="HR1" s="103"/>
      <c r="HS1" s="103"/>
      <c r="HT1" s="103"/>
      <c r="HU1" s="103"/>
      <c r="HV1" s="103"/>
      <c r="HW1" s="103"/>
      <c r="HX1" s="103"/>
      <c r="HY1" s="103"/>
      <c r="HZ1" s="103"/>
      <c r="IA1" s="103"/>
      <c r="IB1" s="103"/>
      <c r="IC1" s="103"/>
      <c r="ID1" s="103"/>
      <c r="IE1" s="103"/>
      <c r="IF1" s="103"/>
      <c r="IG1" s="103"/>
      <c r="IH1" s="103"/>
      <c r="II1" s="103"/>
      <c r="IJ1" s="103"/>
      <c r="IK1" s="103"/>
      <c r="IL1" s="103"/>
      <c r="IM1" s="103"/>
      <c r="IN1" s="103"/>
      <c r="IO1" s="103"/>
      <c r="IP1" s="103"/>
      <c r="IQ1" s="103"/>
      <c r="IR1" s="103"/>
      <c r="IS1" s="103"/>
      <c r="IT1" s="103"/>
      <c r="IU1" s="103"/>
      <c r="IV1" s="103"/>
    </row>
    <row r="2" spans="1:256" ht="35.1" customHeight="1">
      <c r="A2" s="703"/>
      <c r="B2" s="704"/>
      <c r="C2" s="704"/>
      <c r="D2" s="704"/>
      <c r="E2" s="705"/>
      <c r="F2" s="712"/>
      <c r="G2" s="713"/>
      <c r="H2" s="713"/>
      <c r="I2" s="713"/>
      <c r="J2" s="713"/>
      <c r="K2" s="713"/>
      <c r="L2" s="713"/>
      <c r="M2" s="713"/>
      <c r="N2" s="713"/>
      <c r="O2" s="714"/>
      <c r="P2" s="662" t="s">
        <v>106</v>
      </c>
      <c r="Q2" s="663"/>
      <c r="R2" s="663"/>
      <c r="S2" s="663"/>
      <c r="T2" s="663"/>
      <c r="U2" s="663"/>
      <c r="V2" s="664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</row>
    <row r="3" spans="1:256" ht="35.1" customHeight="1">
      <c r="A3" s="706"/>
      <c r="B3" s="707"/>
      <c r="C3" s="707"/>
      <c r="D3" s="707"/>
      <c r="E3" s="708"/>
      <c r="F3" s="715"/>
      <c r="G3" s="716"/>
      <c r="H3" s="716"/>
      <c r="I3" s="716"/>
      <c r="J3" s="716"/>
      <c r="K3" s="716"/>
      <c r="L3" s="716"/>
      <c r="M3" s="716"/>
      <c r="N3" s="716"/>
      <c r="O3" s="717"/>
      <c r="P3" s="662" t="s">
        <v>107</v>
      </c>
      <c r="Q3" s="663"/>
      <c r="R3" s="663"/>
      <c r="S3" s="663"/>
      <c r="T3" s="663"/>
      <c r="U3" s="663"/>
      <c r="V3" s="664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3"/>
      <c r="DC3" s="103"/>
      <c r="DD3" s="103"/>
      <c r="DE3" s="103"/>
      <c r="DF3" s="103"/>
      <c r="DG3" s="103"/>
      <c r="DH3" s="103"/>
      <c r="DI3" s="103"/>
      <c r="DJ3" s="103"/>
      <c r="DK3" s="103"/>
      <c r="DL3" s="103"/>
      <c r="DM3" s="103"/>
      <c r="DN3" s="103"/>
      <c r="DO3" s="103"/>
      <c r="DP3" s="103"/>
      <c r="DQ3" s="103"/>
      <c r="DR3" s="103"/>
      <c r="DS3" s="103"/>
      <c r="DT3" s="103"/>
      <c r="DU3" s="103"/>
      <c r="DV3" s="103"/>
      <c r="DW3" s="103"/>
      <c r="DX3" s="103"/>
      <c r="DY3" s="103"/>
      <c r="DZ3" s="103"/>
      <c r="EA3" s="103"/>
      <c r="EB3" s="103"/>
      <c r="EC3" s="103"/>
      <c r="ED3" s="103"/>
      <c r="EE3" s="103"/>
      <c r="EF3" s="103"/>
      <c r="EG3" s="103"/>
      <c r="EH3" s="103"/>
      <c r="EI3" s="103"/>
      <c r="EJ3" s="103"/>
      <c r="EK3" s="103"/>
      <c r="EL3" s="103"/>
      <c r="EM3" s="103"/>
      <c r="EN3" s="103"/>
      <c r="EO3" s="103"/>
      <c r="EP3" s="103"/>
      <c r="EQ3" s="103"/>
      <c r="ER3" s="103"/>
      <c r="ES3" s="103"/>
      <c r="ET3" s="103"/>
      <c r="EU3" s="103"/>
      <c r="EV3" s="103"/>
      <c r="EW3" s="103"/>
      <c r="EX3" s="103"/>
      <c r="EY3" s="103"/>
      <c r="EZ3" s="103"/>
      <c r="FA3" s="103"/>
      <c r="FB3" s="103"/>
      <c r="FC3" s="103"/>
      <c r="FD3" s="103"/>
      <c r="FE3" s="103"/>
      <c r="FF3" s="103"/>
      <c r="FG3" s="103"/>
      <c r="FH3" s="103"/>
      <c r="FI3" s="103"/>
      <c r="FJ3" s="103"/>
      <c r="FK3" s="103"/>
      <c r="FL3" s="103"/>
      <c r="FM3" s="103"/>
      <c r="FN3" s="103"/>
      <c r="FO3" s="103"/>
      <c r="FP3" s="103"/>
      <c r="FQ3" s="103"/>
      <c r="FR3" s="103"/>
      <c r="FS3" s="103"/>
      <c r="FT3" s="103"/>
      <c r="FU3" s="103"/>
      <c r="FV3" s="103"/>
      <c r="FW3" s="103"/>
      <c r="FX3" s="103"/>
      <c r="FY3" s="103"/>
      <c r="FZ3" s="103"/>
      <c r="GA3" s="103"/>
      <c r="GB3" s="103"/>
      <c r="GC3" s="103"/>
      <c r="GD3" s="103"/>
      <c r="GE3" s="103"/>
      <c r="GF3" s="103"/>
      <c r="GG3" s="103"/>
      <c r="GH3" s="103"/>
      <c r="GI3" s="103"/>
      <c r="GJ3" s="103"/>
      <c r="GK3" s="103"/>
      <c r="GL3" s="103"/>
      <c r="GM3" s="103"/>
      <c r="GN3" s="103"/>
      <c r="GO3" s="103"/>
      <c r="GP3" s="103"/>
      <c r="GQ3" s="103"/>
      <c r="GR3" s="103"/>
      <c r="GS3" s="103"/>
      <c r="GT3" s="103"/>
      <c r="GU3" s="103"/>
      <c r="GV3" s="103"/>
      <c r="GW3" s="103"/>
      <c r="GX3" s="103"/>
      <c r="GY3" s="103"/>
      <c r="GZ3" s="103"/>
      <c r="HA3" s="103"/>
      <c r="HB3" s="103"/>
      <c r="HC3" s="103"/>
      <c r="HD3" s="103"/>
      <c r="HE3" s="103"/>
      <c r="HF3" s="103"/>
      <c r="HG3" s="103"/>
      <c r="HH3" s="103"/>
      <c r="HI3" s="103"/>
      <c r="HJ3" s="103"/>
      <c r="HK3" s="103"/>
      <c r="HL3" s="103"/>
      <c r="HM3" s="103"/>
      <c r="HN3" s="103"/>
      <c r="HO3" s="103"/>
      <c r="HP3" s="103"/>
      <c r="HQ3" s="103"/>
      <c r="HR3" s="103"/>
      <c r="HS3" s="103"/>
      <c r="HT3" s="103"/>
      <c r="HU3" s="103"/>
      <c r="HV3" s="103"/>
      <c r="HW3" s="103"/>
      <c r="HX3" s="103"/>
      <c r="HY3" s="103"/>
      <c r="HZ3" s="103"/>
      <c r="IA3" s="103"/>
      <c r="IB3" s="103"/>
      <c r="IC3" s="103"/>
      <c r="ID3" s="103"/>
      <c r="IE3" s="103"/>
      <c r="IF3" s="103"/>
      <c r="IG3" s="103"/>
      <c r="IH3" s="103"/>
      <c r="II3" s="103"/>
      <c r="IJ3" s="103"/>
      <c r="IK3" s="103"/>
      <c r="IL3" s="103"/>
      <c r="IM3" s="103"/>
      <c r="IN3" s="103"/>
      <c r="IO3" s="103"/>
      <c r="IP3" s="103"/>
      <c r="IQ3" s="103"/>
      <c r="IR3" s="103"/>
      <c r="IS3" s="103"/>
      <c r="IT3" s="103"/>
      <c r="IU3" s="103"/>
      <c r="IV3" s="103"/>
    </row>
    <row r="4" spans="1:256" ht="35.1" customHeight="1">
      <c r="A4" s="671" t="s">
        <v>108</v>
      </c>
      <c r="B4" s="671"/>
      <c r="C4" s="672" t="s">
        <v>839</v>
      </c>
      <c r="D4" s="673"/>
      <c r="E4" s="674"/>
      <c r="F4" s="662" t="s">
        <v>109</v>
      </c>
      <c r="G4" s="664"/>
      <c r="H4" s="692">
        <v>215331700141</v>
      </c>
      <c r="I4" s="693"/>
      <c r="J4" s="693"/>
      <c r="K4" s="694"/>
      <c r="L4" s="665" t="s">
        <v>110</v>
      </c>
      <c r="M4" s="666"/>
      <c r="N4" s="666"/>
      <c r="O4" s="667"/>
      <c r="P4" s="662" t="s">
        <v>843</v>
      </c>
      <c r="Q4" s="663"/>
      <c r="R4" s="663"/>
      <c r="S4" s="663"/>
      <c r="T4" s="663"/>
      <c r="U4" s="663"/>
      <c r="V4" s="664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/>
      <c r="CO4" s="103"/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3"/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3"/>
      <c r="DO4" s="103"/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3"/>
      <c r="EB4" s="103"/>
      <c r="EC4" s="103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3"/>
      <c r="EO4" s="103"/>
      <c r="EP4" s="103"/>
      <c r="EQ4" s="103"/>
      <c r="ER4" s="103"/>
      <c r="ES4" s="103"/>
      <c r="ET4" s="103"/>
      <c r="EU4" s="103"/>
      <c r="EV4" s="103"/>
      <c r="EW4" s="103"/>
      <c r="EX4" s="103"/>
      <c r="EY4" s="103"/>
      <c r="EZ4" s="103"/>
      <c r="FA4" s="103"/>
      <c r="FB4" s="103"/>
      <c r="FC4" s="103"/>
      <c r="FD4" s="103"/>
      <c r="FE4" s="103"/>
      <c r="FF4" s="103"/>
      <c r="FG4" s="103"/>
      <c r="FH4" s="103"/>
      <c r="FI4" s="103"/>
      <c r="FJ4" s="103"/>
      <c r="FK4" s="103"/>
      <c r="FL4" s="103"/>
      <c r="FM4" s="103"/>
      <c r="FN4" s="103"/>
      <c r="FO4" s="103"/>
      <c r="FP4" s="103"/>
      <c r="FQ4" s="103"/>
      <c r="FR4" s="103"/>
      <c r="FS4" s="103"/>
      <c r="FT4" s="103"/>
      <c r="FU4" s="103"/>
      <c r="FV4" s="103"/>
      <c r="FW4" s="103"/>
      <c r="FX4" s="103"/>
      <c r="FY4" s="103"/>
      <c r="FZ4" s="103"/>
      <c r="GA4" s="103"/>
      <c r="GB4" s="103"/>
      <c r="GC4" s="103"/>
      <c r="GD4" s="103"/>
      <c r="GE4" s="103"/>
      <c r="GF4" s="103"/>
      <c r="GG4" s="103"/>
      <c r="GH4" s="103"/>
      <c r="GI4" s="103"/>
      <c r="GJ4" s="103"/>
      <c r="GK4" s="103"/>
      <c r="GL4" s="103"/>
      <c r="GM4" s="103"/>
      <c r="GN4" s="103"/>
      <c r="GO4" s="103"/>
      <c r="GP4" s="103"/>
      <c r="GQ4" s="103"/>
      <c r="GR4" s="103"/>
      <c r="GS4" s="103"/>
      <c r="GT4" s="103"/>
      <c r="GU4" s="103"/>
      <c r="GV4" s="103"/>
      <c r="GW4" s="103"/>
      <c r="GX4" s="103"/>
      <c r="GY4" s="103"/>
      <c r="GZ4" s="103"/>
      <c r="HA4" s="103"/>
      <c r="HB4" s="103"/>
      <c r="HC4" s="103"/>
      <c r="HD4" s="103"/>
      <c r="HE4" s="103"/>
      <c r="HF4" s="103"/>
      <c r="HG4" s="103"/>
      <c r="HH4" s="103"/>
      <c r="HI4" s="103"/>
      <c r="HJ4" s="103"/>
      <c r="HK4" s="103"/>
      <c r="HL4" s="103"/>
      <c r="HM4" s="103"/>
      <c r="HN4" s="103"/>
      <c r="HO4" s="103"/>
      <c r="HP4" s="103"/>
      <c r="HQ4" s="103"/>
      <c r="HR4" s="103"/>
      <c r="HS4" s="103"/>
      <c r="HT4" s="103"/>
      <c r="HU4" s="103"/>
      <c r="HV4" s="103"/>
      <c r="HW4" s="103"/>
      <c r="HX4" s="103"/>
      <c r="HY4" s="103"/>
      <c r="HZ4" s="103"/>
      <c r="IA4" s="103"/>
      <c r="IB4" s="103"/>
      <c r="IC4" s="103"/>
      <c r="ID4" s="103"/>
      <c r="IE4" s="103"/>
      <c r="IF4" s="103"/>
      <c r="IG4" s="103"/>
      <c r="IH4" s="103"/>
      <c r="II4" s="103"/>
      <c r="IJ4" s="103"/>
      <c r="IK4" s="103"/>
      <c r="IL4" s="103"/>
      <c r="IM4" s="103"/>
      <c r="IN4" s="103"/>
      <c r="IO4" s="103"/>
      <c r="IP4" s="103"/>
      <c r="IQ4" s="103"/>
      <c r="IR4" s="103"/>
      <c r="IS4" s="103"/>
      <c r="IT4" s="103"/>
      <c r="IU4" s="103"/>
      <c r="IV4" s="103"/>
    </row>
    <row r="5" spans="1:256" ht="35.1" customHeight="1">
      <c r="A5" s="671" t="s">
        <v>111</v>
      </c>
      <c r="B5" s="671"/>
      <c r="C5" s="671"/>
      <c r="D5" s="681" t="s">
        <v>55</v>
      </c>
      <c r="E5" s="663"/>
      <c r="F5" s="663"/>
      <c r="G5" s="663"/>
      <c r="H5" s="663"/>
      <c r="I5" s="663"/>
      <c r="J5" s="663"/>
      <c r="K5" s="664"/>
      <c r="L5" s="665" t="s">
        <v>112</v>
      </c>
      <c r="M5" s="666"/>
      <c r="N5" s="666"/>
      <c r="O5" s="667"/>
      <c r="P5" s="682" t="s">
        <v>841</v>
      </c>
      <c r="Q5" s="683"/>
      <c r="R5" s="683"/>
      <c r="S5" s="683"/>
      <c r="T5" s="683"/>
      <c r="U5" s="683"/>
      <c r="V5" s="684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  <c r="CV5" s="103"/>
      <c r="CW5" s="103"/>
      <c r="CX5" s="103"/>
      <c r="CY5" s="103"/>
      <c r="CZ5" s="103"/>
      <c r="DA5" s="103"/>
      <c r="DB5" s="103"/>
      <c r="DC5" s="103"/>
      <c r="DD5" s="103"/>
      <c r="DE5" s="103"/>
      <c r="DF5" s="103"/>
      <c r="DG5" s="103"/>
      <c r="DH5" s="103"/>
      <c r="DI5" s="103"/>
      <c r="DJ5" s="103"/>
      <c r="DK5" s="103"/>
      <c r="DL5" s="103"/>
      <c r="DM5" s="103"/>
      <c r="DN5" s="103"/>
      <c r="DO5" s="103"/>
      <c r="DP5" s="103"/>
      <c r="DQ5" s="103"/>
      <c r="DR5" s="103"/>
      <c r="DS5" s="103"/>
      <c r="DT5" s="103"/>
      <c r="DU5" s="103"/>
      <c r="DV5" s="103"/>
      <c r="DW5" s="103"/>
      <c r="DX5" s="103"/>
      <c r="DY5" s="103"/>
      <c r="DZ5" s="103"/>
      <c r="EA5" s="103"/>
      <c r="EB5" s="103"/>
      <c r="EC5" s="103"/>
      <c r="ED5" s="103"/>
      <c r="EE5" s="103"/>
      <c r="EF5" s="103"/>
      <c r="EG5" s="103"/>
      <c r="EH5" s="103"/>
      <c r="EI5" s="103"/>
      <c r="EJ5" s="103"/>
      <c r="EK5" s="103"/>
      <c r="EL5" s="103"/>
      <c r="EM5" s="103"/>
      <c r="EN5" s="103"/>
      <c r="EO5" s="103"/>
      <c r="EP5" s="103"/>
      <c r="EQ5" s="103"/>
      <c r="ER5" s="103"/>
      <c r="ES5" s="103"/>
      <c r="ET5" s="103"/>
      <c r="EU5" s="103"/>
      <c r="EV5" s="103"/>
      <c r="EW5" s="103"/>
      <c r="EX5" s="103"/>
      <c r="EY5" s="103"/>
      <c r="EZ5" s="103"/>
      <c r="FA5" s="103"/>
      <c r="FB5" s="103"/>
      <c r="FC5" s="103"/>
      <c r="FD5" s="103"/>
      <c r="FE5" s="103"/>
      <c r="FF5" s="103"/>
      <c r="FG5" s="103"/>
      <c r="FH5" s="103"/>
      <c r="FI5" s="103"/>
      <c r="FJ5" s="103"/>
      <c r="FK5" s="103"/>
      <c r="FL5" s="103"/>
      <c r="FM5" s="103"/>
      <c r="FN5" s="103"/>
      <c r="FO5" s="103"/>
      <c r="FP5" s="103"/>
      <c r="FQ5" s="103"/>
      <c r="FR5" s="103"/>
      <c r="FS5" s="103"/>
      <c r="FT5" s="103"/>
      <c r="FU5" s="103"/>
      <c r="FV5" s="103"/>
      <c r="FW5" s="103"/>
      <c r="FX5" s="103"/>
      <c r="FY5" s="103"/>
      <c r="FZ5" s="103"/>
      <c r="GA5" s="103"/>
      <c r="GB5" s="103"/>
      <c r="GC5" s="103"/>
      <c r="GD5" s="103"/>
      <c r="GE5" s="103"/>
      <c r="GF5" s="103"/>
      <c r="GG5" s="103"/>
      <c r="GH5" s="103"/>
      <c r="GI5" s="103"/>
      <c r="GJ5" s="103"/>
      <c r="GK5" s="103"/>
      <c r="GL5" s="103"/>
      <c r="GM5" s="103"/>
      <c r="GN5" s="103"/>
      <c r="GO5" s="103"/>
      <c r="GP5" s="103"/>
      <c r="GQ5" s="103"/>
      <c r="GR5" s="103"/>
      <c r="GS5" s="103"/>
      <c r="GT5" s="103"/>
      <c r="GU5" s="103"/>
      <c r="GV5" s="103"/>
      <c r="GW5" s="103"/>
      <c r="GX5" s="103"/>
      <c r="GY5" s="103"/>
      <c r="GZ5" s="103"/>
      <c r="HA5" s="103"/>
      <c r="HB5" s="103"/>
      <c r="HC5" s="103"/>
      <c r="HD5" s="103"/>
      <c r="HE5" s="103"/>
      <c r="HF5" s="103"/>
      <c r="HG5" s="103"/>
      <c r="HH5" s="103"/>
      <c r="HI5" s="103"/>
      <c r="HJ5" s="103"/>
      <c r="HK5" s="103"/>
      <c r="HL5" s="103"/>
      <c r="HM5" s="103"/>
      <c r="HN5" s="103"/>
      <c r="HO5" s="103"/>
      <c r="HP5" s="103"/>
      <c r="HQ5" s="103"/>
      <c r="HR5" s="103"/>
      <c r="HS5" s="103"/>
      <c r="HT5" s="103"/>
      <c r="HU5" s="103"/>
      <c r="HV5" s="103"/>
      <c r="HW5" s="103"/>
      <c r="HX5" s="103"/>
      <c r="HY5" s="103"/>
      <c r="HZ5" s="103"/>
      <c r="IA5" s="103"/>
      <c r="IB5" s="103"/>
      <c r="IC5" s="103"/>
      <c r="ID5" s="103"/>
      <c r="IE5" s="103"/>
      <c r="IF5" s="103"/>
      <c r="IG5" s="103"/>
      <c r="IH5" s="103"/>
      <c r="II5" s="103"/>
      <c r="IJ5" s="103"/>
      <c r="IK5" s="103"/>
      <c r="IL5" s="103"/>
      <c r="IM5" s="103"/>
      <c r="IN5" s="103"/>
      <c r="IO5" s="103"/>
      <c r="IP5" s="103"/>
      <c r="IQ5" s="103"/>
      <c r="IR5" s="103"/>
      <c r="IS5" s="103"/>
      <c r="IT5" s="103"/>
      <c r="IU5" s="103"/>
      <c r="IV5" s="103"/>
    </row>
    <row r="6" spans="1:256" ht="35.1" customHeight="1">
      <c r="A6" s="671" t="s">
        <v>113</v>
      </c>
      <c r="B6" s="671"/>
      <c r="C6" s="671"/>
      <c r="D6" s="685" t="s">
        <v>55</v>
      </c>
      <c r="E6" s="693"/>
      <c r="F6" s="693"/>
      <c r="G6" s="693"/>
      <c r="H6" s="693"/>
      <c r="I6" s="693"/>
      <c r="J6" s="693"/>
      <c r="K6" s="694"/>
      <c r="L6" s="665" t="s">
        <v>114</v>
      </c>
      <c r="M6" s="666"/>
      <c r="N6" s="666"/>
      <c r="O6" s="667"/>
      <c r="P6" s="686" t="s">
        <v>115</v>
      </c>
      <c r="Q6" s="740"/>
      <c r="R6" s="740"/>
      <c r="S6" s="740"/>
      <c r="T6" s="740"/>
      <c r="U6" s="740"/>
      <c r="V6" s="741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3"/>
      <c r="CW6" s="103"/>
      <c r="CX6" s="103"/>
      <c r="CY6" s="103"/>
      <c r="CZ6" s="103"/>
      <c r="DA6" s="103"/>
      <c r="DB6" s="103"/>
      <c r="DC6" s="103"/>
      <c r="DD6" s="103"/>
      <c r="DE6" s="103"/>
      <c r="DF6" s="103"/>
      <c r="DG6" s="103"/>
      <c r="DH6" s="103"/>
      <c r="DI6" s="103"/>
      <c r="DJ6" s="103"/>
      <c r="DK6" s="103"/>
      <c r="DL6" s="103"/>
      <c r="DM6" s="103"/>
      <c r="DN6" s="103"/>
      <c r="DO6" s="103"/>
      <c r="DP6" s="103"/>
      <c r="DQ6" s="103"/>
      <c r="DR6" s="103"/>
      <c r="DS6" s="103"/>
      <c r="DT6" s="103"/>
      <c r="DU6" s="103"/>
      <c r="DV6" s="103"/>
      <c r="DW6" s="103"/>
      <c r="DX6" s="103"/>
      <c r="DY6" s="103"/>
      <c r="DZ6" s="103"/>
      <c r="EA6" s="103"/>
      <c r="EB6" s="103"/>
      <c r="EC6" s="103"/>
      <c r="ED6" s="103"/>
      <c r="EE6" s="103"/>
      <c r="EF6" s="103"/>
      <c r="EG6" s="103"/>
      <c r="EH6" s="103"/>
      <c r="EI6" s="103"/>
      <c r="EJ6" s="103"/>
      <c r="EK6" s="103"/>
      <c r="EL6" s="103"/>
      <c r="EM6" s="103"/>
      <c r="EN6" s="103"/>
      <c r="EO6" s="103"/>
      <c r="EP6" s="103"/>
      <c r="EQ6" s="103"/>
      <c r="ER6" s="103"/>
      <c r="ES6" s="103"/>
      <c r="ET6" s="103"/>
      <c r="EU6" s="103"/>
      <c r="EV6" s="103"/>
      <c r="EW6" s="103"/>
      <c r="EX6" s="103"/>
      <c r="EY6" s="103"/>
      <c r="EZ6" s="103"/>
      <c r="FA6" s="103"/>
      <c r="FB6" s="103"/>
      <c r="FC6" s="103"/>
      <c r="FD6" s="103"/>
      <c r="FE6" s="103"/>
      <c r="FF6" s="103"/>
      <c r="FG6" s="103"/>
      <c r="FH6" s="103"/>
      <c r="FI6" s="103"/>
      <c r="FJ6" s="103"/>
      <c r="FK6" s="103"/>
      <c r="FL6" s="103"/>
      <c r="FM6" s="103"/>
      <c r="FN6" s="103"/>
      <c r="FO6" s="103"/>
      <c r="FP6" s="103"/>
      <c r="FQ6" s="103"/>
      <c r="FR6" s="103"/>
      <c r="FS6" s="103"/>
      <c r="FT6" s="103"/>
      <c r="FU6" s="103"/>
      <c r="FV6" s="103"/>
      <c r="FW6" s="103"/>
      <c r="FX6" s="103"/>
      <c r="FY6" s="103"/>
      <c r="FZ6" s="103"/>
      <c r="GA6" s="103"/>
      <c r="GB6" s="103"/>
      <c r="GC6" s="103"/>
      <c r="GD6" s="103"/>
      <c r="GE6" s="103"/>
      <c r="GF6" s="103"/>
      <c r="GG6" s="103"/>
      <c r="GH6" s="103"/>
      <c r="GI6" s="103"/>
      <c r="GJ6" s="103"/>
      <c r="GK6" s="103"/>
      <c r="GL6" s="103"/>
      <c r="GM6" s="103"/>
      <c r="GN6" s="103"/>
      <c r="GO6" s="103"/>
      <c r="GP6" s="103"/>
      <c r="GQ6" s="103"/>
      <c r="GR6" s="103"/>
      <c r="GS6" s="103"/>
      <c r="GT6" s="103"/>
      <c r="GU6" s="103"/>
      <c r="GV6" s="103"/>
      <c r="GW6" s="103"/>
      <c r="GX6" s="103"/>
      <c r="GY6" s="103"/>
      <c r="GZ6" s="103"/>
      <c r="HA6" s="103"/>
      <c r="HB6" s="103"/>
      <c r="HC6" s="103"/>
      <c r="HD6" s="103"/>
      <c r="HE6" s="103"/>
      <c r="HF6" s="103"/>
      <c r="HG6" s="103"/>
      <c r="HH6" s="103"/>
      <c r="HI6" s="103"/>
      <c r="HJ6" s="103"/>
      <c r="HK6" s="103"/>
      <c r="HL6" s="103"/>
      <c r="HM6" s="103"/>
      <c r="HN6" s="103"/>
      <c r="HO6" s="103"/>
      <c r="HP6" s="103"/>
      <c r="HQ6" s="103"/>
      <c r="HR6" s="103"/>
      <c r="HS6" s="103"/>
      <c r="HT6" s="103"/>
      <c r="HU6" s="103"/>
      <c r="HV6" s="103"/>
      <c r="HW6" s="103"/>
      <c r="HX6" s="103"/>
      <c r="HY6" s="103"/>
      <c r="HZ6" s="103"/>
      <c r="IA6" s="103"/>
      <c r="IB6" s="103"/>
      <c r="IC6" s="103"/>
      <c r="ID6" s="103"/>
      <c r="IE6" s="103"/>
      <c r="IF6" s="103"/>
      <c r="IG6" s="103"/>
      <c r="IH6" s="103"/>
      <c r="II6" s="103"/>
      <c r="IJ6" s="103"/>
      <c r="IK6" s="103"/>
      <c r="IL6" s="103"/>
      <c r="IM6" s="103"/>
      <c r="IN6" s="103"/>
      <c r="IO6" s="103"/>
      <c r="IP6" s="103"/>
      <c r="IQ6" s="103"/>
      <c r="IR6" s="103"/>
      <c r="IS6" s="103"/>
      <c r="IT6" s="103"/>
      <c r="IU6" s="103"/>
      <c r="IV6" s="103"/>
    </row>
    <row r="7" spans="1:256" ht="35.1" customHeight="1">
      <c r="A7" s="105" t="s">
        <v>116</v>
      </c>
      <c r="B7" s="105"/>
      <c r="C7" s="105"/>
      <c r="D7" s="690" t="s">
        <v>842</v>
      </c>
      <c r="E7" s="691"/>
      <c r="F7" s="662" t="s">
        <v>117</v>
      </c>
      <c r="G7" s="663"/>
      <c r="H7" s="664"/>
      <c r="I7" s="662" t="s">
        <v>840</v>
      </c>
      <c r="J7" s="663"/>
      <c r="K7" s="664"/>
      <c r="L7" s="665" t="s">
        <v>118</v>
      </c>
      <c r="M7" s="666"/>
      <c r="N7" s="666"/>
      <c r="O7" s="667"/>
      <c r="P7" s="106" t="s">
        <v>119</v>
      </c>
      <c r="Q7" s="107" t="s">
        <v>120</v>
      </c>
      <c r="R7" s="668" t="s">
        <v>115</v>
      </c>
      <c r="S7" s="748"/>
      <c r="T7" s="748"/>
      <c r="U7" s="748"/>
      <c r="V7" s="749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DT7" s="103"/>
      <c r="DU7" s="103"/>
      <c r="DV7" s="103"/>
      <c r="DW7" s="103"/>
      <c r="DX7" s="103"/>
      <c r="DY7" s="103"/>
      <c r="DZ7" s="103"/>
      <c r="EA7" s="103"/>
      <c r="EB7" s="103"/>
      <c r="EC7" s="103"/>
      <c r="ED7" s="103"/>
      <c r="EE7" s="103"/>
      <c r="EF7" s="103"/>
      <c r="EG7" s="103"/>
      <c r="EH7" s="103"/>
      <c r="EI7" s="103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3"/>
      <c r="FO7" s="103"/>
      <c r="FP7" s="103"/>
      <c r="FQ7" s="103"/>
      <c r="FR7" s="103"/>
      <c r="FS7" s="103"/>
      <c r="FT7" s="103"/>
      <c r="FU7" s="103"/>
      <c r="FV7" s="103"/>
      <c r="FW7" s="103"/>
      <c r="FX7" s="103"/>
      <c r="FY7" s="103"/>
      <c r="FZ7" s="103"/>
      <c r="GA7" s="103"/>
      <c r="GB7" s="103"/>
      <c r="GC7" s="103"/>
      <c r="GD7" s="103"/>
      <c r="GE7" s="103"/>
      <c r="GF7" s="103"/>
      <c r="GG7" s="103"/>
      <c r="GH7" s="103"/>
      <c r="GI7" s="103"/>
      <c r="GJ7" s="103"/>
      <c r="GK7" s="103"/>
      <c r="GL7" s="103"/>
      <c r="GM7" s="103"/>
      <c r="GN7" s="103"/>
      <c r="GO7" s="103"/>
      <c r="GP7" s="103"/>
      <c r="GQ7" s="103"/>
      <c r="GR7" s="103"/>
      <c r="GS7" s="103"/>
      <c r="GT7" s="103"/>
      <c r="GU7" s="103"/>
      <c r="GV7" s="103"/>
      <c r="GW7" s="103"/>
      <c r="GX7" s="103"/>
      <c r="GY7" s="103"/>
      <c r="GZ7" s="103"/>
      <c r="HA7" s="103"/>
      <c r="HB7" s="103"/>
      <c r="HC7" s="103"/>
      <c r="HD7" s="103"/>
      <c r="HE7" s="103"/>
      <c r="HF7" s="103"/>
      <c r="HG7" s="103"/>
      <c r="HH7" s="103"/>
      <c r="HI7" s="103"/>
      <c r="HJ7" s="103"/>
      <c r="HK7" s="103"/>
      <c r="HL7" s="103"/>
      <c r="HM7" s="103"/>
      <c r="HN7" s="103"/>
      <c r="HO7" s="103"/>
      <c r="HP7" s="103"/>
      <c r="HQ7" s="103"/>
      <c r="HR7" s="103"/>
      <c r="HS7" s="103"/>
      <c r="HT7" s="103"/>
      <c r="HU7" s="103"/>
      <c r="HV7" s="103"/>
      <c r="HW7" s="103"/>
      <c r="HX7" s="103"/>
      <c r="HY7" s="103"/>
      <c r="HZ7" s="103"/>
      <c r="IA7" s="103"/>
      <c r="IB7" s="103"/>
      <c r="IC7" s="103"/>
      <c r="ID7" s="103"/>
      <c r="IE7" s="103"/>
      <c r="IF7" s="103"/>
      <c r="IG7" s="103"/>
      <c r="IH7" s="103"/>
      <c r="II7" s="103"/>
      <c r="IJ7" s="103"/>
      <c r="IK7" s="103"/>
      <c r="IL7" s="103"/>
      <c r="IM7" s="103"/>
      <c r="IN7" s="103"/>
      <c r="IO7" s="103"/>
      <c r="IP7" s="103"/>
      <c r="IQ7" s="103"/>
      <c r="IR7" s="103"/>
      <c r="IS7" s="103"/>
      <c r="IT7" s="103"/>
      <c r="IU7" s="103"/>
      <c r="IV7" s="103"/>
    </row>
    <row r="8" spans="1:256" ht="35.1" customHeight="1">
      <c r="A8" s="662" t="s">
        <v>121</v>
      </c>
      <c r="B8" s="664"/>
      <c r="C8" s="672" t="s">
        <v>525</v>
      </c>
      <c r="D8" s="673"/>
      <c r="E8" s="673"/>
      <c r="F8" s="673"/>
      <c r="G8" s="673"/>
      <c r="H8" s="674"/>
      <c r="I8" s="675" t="s">
        <v>122</v>
      </c>
      <c r="J8" s="676"/>
      <c r="K8" s="677"/>
      <c r="L8" s="665" t="s">
        <v>123</v>
      </c>
      <c r="M8" s="666"/>
      <c r="N8" s="666"/>
      <c r="O8" s="667"/>
      <c r="P8" s="108"/>
      <c r="Q8" s="241" t="s">
        <v>124</v>
      </c>
      <c r="R8" s="750" t="s">
        <v>125</v>
      </c>
      <c r="S8" s="751"/>
      <c r="T8" s="751"/>
      <c r="U8" s="752"/>
      <c r="V8" s="109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  <c r="DD8" s="103"/>
      <c r="DE8" s="103"/>
      <c r="DF8" s="103"/>
      <c r="DG8" s="103"/>
      <c r="DH8" s="103"/>
      <c r="DI8" s="103"/>
      <c r="DJ8" s="103"/>
      <c r="DK8" s="103"/>
      <c r="DL8" s="103"/>
      <c r="DM8" s="103"/>
      <c r="DN8" s="103"/>
      <c r="DO8" s="103"/>
      <c r="DP8" s="103"/>
      <c r="DQ8" s="103"/>
      <c r="DR8" s="103"/>
      <c r="DS8" s="103"/>
      <c r="DT8" s="103"/>
      <c r="DU8" s="103"/>
      <c r="DV8" s="103"/>
      <c r="DW8" s="103"/>
      <c r="DX8" s="103"/>
      <c r="DY8" s="103"/>
      <c r="DZ8" s="103"/>
      <c r="EA8" s="103"/>
      <c r="EB8" s="103"/>
      <c r="EC8" s="103"/>
      <c r="ED8" s="103"/>
      <c r="EE8" s="103"/>
      <c r="EF8" s="103"/>
      <c r="EG8" s="103"/>
      <c r="EH8" s="103"/>
      <c r="EI8" s="103"/>
      <c r="EJ8" s="103"/>
      <c r="EK8" s="103"/>
      <c r="EL8" s="103"/>
      <c r="EM8" s="103"/>
      <c r="EN8" s="103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3"/>
      <c r="FO8" s="103"/>
      <c r="FP8" s="103"/>
      <c r="FQ8" s="103"/>
      <c r="FR8" s="103"/>
      <c r="FS8" s="103"/>
      <c r="FT8" s="103"/>
      <c r="FU8" s="103"/>
      <c r="FV8" s="103"/>
      <c r="FW8" s="103"/>
      <c r="FX8" s="103"/>
      <c r="FY8" s="103"/>
      <c r="FZ8" s="103"/>
      <c r="GA8" s="103"/>
      <c r="GB8" s="103"/>
      <c r="GC8" s="103"/>
      <c r="GD8" s="103"/>
      <c r="GE8" s="103"/>
      <c r="GF8" s="103"/>
      <c r="GG8" s="103"/>
      <c r="GH8" s="103"/>
      <c r="GI8" s="103"/>
      <c r="GJ8" s="103"/>
      <c r="GK8" s="103"/>
      <c r="GL8" s="103"/>
      <c r="GM8" s="103"/>
      <c r="GN8" s="103"/>
      <c r="GO8" s="103"/>
      <c r="GP8" s="103"/>
      <c r="GQ8" s="103"/>
      <c r="GR8" s="103"/>
      <c r="GS8" s="103"/>
      <c r="GT8" s="103"/>
      <c r="GU8" s="103"/>
      <c r="GV8" s="103"/>
      <c r="GW8" s="103"/>
      <c r="GX8" s="103"/>
      <c r="GY8" s="103"/>
      <c r="GZ8" s="103"/>
      <c r="HA8" s="103"/>
      <c r="HB8" s="103"/>
      <c r="HC8" s="103"/>
      <c r="HD8" s="103"/>
      <c r="HE8" s="103"/>
      <c r="HF8" s="103"/>
      <c r="HG8" s="103"/>
      <c r="HH8" s="103"/>
      <c r="HI8" s="103"/>
      <c r="HJ8" s="103"/>
      <c r="HK8" s="103"/>
      <c r="HL8" s="103"/>
      <c r="HM8" s="103"/>
      <c r="HN8" s="103"/>
      <c r="HO8" s="103"/>
      <c r="HP8" s="103"/>
      <c r="HQ8" s="103"/>
      <c r="HR8" s="103"/>
      <c r="HS8" s="103"/>
      <c r="HT8" s="103"/>
      <c r="HU8" s="103"/>
      <c r="HV8" s="103"/>
      <c r="HW8" s="103"/>
      <c r="HX8" s="103"/>
      <c r="HY8" s="103"/>
      <c r="HZ8" s="103"/>
      <c r="IA8" s="103"/>
      <c r="IB8" s="103"/>
      <c r="IC8" s="103"/>
      <c r="ID8" s="103"/>
      <c r="IE8" s="103"/>
      <c r="IF8" s="103"/>
      <c r="IG8" s="103"/>
      <c r="IH8" s="103"/>
      <c r="II8" s="103"/>
      <c r="IJ8" s="103"/>
      <c r="IK8" s="103"/>
      <c r="IL8" s="103"/>
      <c r="IM8" s="103"/>
      <c r="IN8" s="103"/>
      <c r="IO8" s="103"/>
      <c r="IP8" s="103"/>
      <c r="IQ8" s="103"/>
      <c r="IR8" s="103"/>
      <c r="IS8" s="103"/>
      <c r="IT8" s="103"/>
      <c r="IU8" s="103"/>
      <c r="IV8" s="103"/>
    </row>
    <row r="9" spans="1:256" ht="35.1" customHeight="1">
      <c r="A9" s="753" t="s">
        <v>126</v>
      </c>
      <c r="B9" s="734" t="s">
        <v>127</v>
      </c>
      <c r="C9" s="734" t="s">
        <v>9</v>
      </c>
      <c r="D9" s="734" t="s">
        <v>128</v>
      </c>
      <c r="E9" s="734" t="s">
        <v>129</v>
      </c>
      <c r="F9" s="745" t="s">
        <v>130</v>
      </c>
      <c r="G9" s="734" t="s">
        <v>131</v>
      </c>
      <c r="H9" s="737" t="s">
        <v>132</v>
      </c>
      <c r="I9" s="742" t="s">
        <v>133</v>
      </c>
      <c r="J9" s="734" t="s">
        <v>134</v>
      </c>
      <c r="K9" s="737" t="s">
        <v>135</v>
      </c>
      <c r="L9" s="734" t="s">
        <v>136</v>
      </c>
      <c r="M9" s="734" t="s">
        <v>137</v>
      </c>
      <c r="N9" s="734" t="s">
        <v>138</v>
      </c>
      <c r="O9" s="734" t="s">
        <v>139</v>
      </c>
      <c r="P9" s="737" t="s">
        <v>140</v>
      </c>
      <c r="Q9" s="734" t="s">
        <v>141</v>
      </c>
      <c r="R9" s="734" t="s">
        <v>142</v>
      </c>
      <c r="S9" s="734" t="s">
        <v>130</v>
      </c>
      <c r="T9" s="734" t="s">
        <v>134</v>
      </c>
      <c r="U9" s="734" t="s">
        <v>136</v>
      </c>
      <c r="V9" s="734" t="s">
        <v>139</v>
      </c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110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0"/>
      <c r="FR9" s="110"/>
      <c r="FS9" s="110"/>
      <c r="FT9" s="110"/>
      <c r="FU9" s="110"/>
      <c r="FV9" s="110"/>
      <c r="FW9" s="110"/>
      <c r="FX9" s="110"/>
      <c r="FY9" s="110"/>
      <c r="FZ9" s="110"/>
      <c r="GA9" s="110"/>
      <c r="GB9" s="110"/>
      <c r="GC9" s="110"/>
      <c r="GD9" s="110"/>
      <c r="GE9" s="110"/>
      <c r="GF9" s="110"/>
      <c r="GG9" s="110"/>
      <c r="GH9" s="110"/>
      <c r="GI9" s="110"/>
      <c r="GJ9" s="110"/>
      <c r="GK9" s="110"/>
      <c r="GL9" s="110"/>
      <c r="GM9" s="110"/>
      <c r="GN9" s="110"/>
      <c r="GO9" s="110"/>
      <c r="GP9" s="110"/>
      <c r="GQ9" s="110"/>
      <c r="GR9" s="110"/>
      <c r="GS9" s="110"/>
      <c r="GT9" s="110"/>
      <c r="GU9" s="110"/>
      <c r="GV9" s="110"/>
      <c r="GW9" s="110"/>
      <c r="GX9" s="110"/>
      <c r="GY9" s="110"/>
      <c r="GZ9" s="110"/>
      <c r="HA9" s="110"/>
      <c r="HB9" s="110"/>
      <c r="HC9" s="110"/>
      <c r="HD9" s="110"/>
      <c r="HE9" s="110"/>
      <c r="HF9" s="110"/>
      <c r="HG9" s="110"/>
      <c r="HH9" s="110"/>
      <c r="HI9" s="110"/>
      <c r="HJ9" s="110"/>
      <c r="HK9" s="110"/>
      <c r="HL9" s="110"/>
      <c r="HM9" s="110"/>
      <c r="HN9" s="110"/>
      <c r="HO9" s="110"/>
      <c r="HP9" s="110"/>
      <c r="HQ9" s="110"/>
      <c r="HR9" s="110"/>
      <c r="HS9" s="110"/>
      <c r="HT9" s="110"/>
      <c r="HU9" s="110"/>
      <c r="HV9" s="110"/>
      <c r="HW9" s="110"/>
      <c r="HX9" s="110"/>
      <c r="HY9" s="110"/>
      <c r="HZ9" s="110"/>
      <c r="IA9" s="110"/>
      <c r="IB9" s="110"/>
      <c r="IC9" s="110"/>
      <c r="ID9" s="110"/>
      <c r="IE9" s="110"/>
      <c r="IF9" s="110"/>
      <c r="IG9" s="110"/>
      <c r="IH9" s="110"/>
      <c r="II9" s="110"/>
      <c r="IJ9" s="110"/>
      <c r="IK9" s="110"/>
      <c r="IL9" s="110"/>
      <c r="IM9" s="110"/>
      <c r="IN9" s="110"/>
      <c r="IO9" s="110"/>
      <c r="IP9" s="110"/>
      <c r="IQ9" s="110"/>
      <c r="IR9" s="110"/>
      <c r="IS9" s="110"/>
      <c r="IT9" s="110"/>
      <c r="IU9" s="110"/>
      <c r="IV9" s="110"/>
    </row>
    <row r="10" spans="1:256" ht="35.1" customHeight="1">
      <c r="A10" s="754"/>
      <c r="B10" s="735"/>
      <c r="C10" s="735"/>
      <c r="D10" s="735"/>
      <c r="E10" s="735"/>
      <c r="F10" s="746"/>
      <c r="G10" s="735"/>
      <c r="H10" s="738"/>
      <c r="I10" s="743"/>
      <c r="J10" s="735"/>
      <c r="K10" s="738"/>
      <c r="L10" s="735"/>
      <c r="M10" s="735"/>
      <c r="N10" s="735"/>
      <c r="O10" s="735"/>
      <c r="P10" s="738"/>
      <c r="Q10" s="735"/>
      <c r="R10" s="735"/>
      <c r="S10" s="735"/>
      <c r="T10" s="735"/>
      <c r="U10" s="735"/>
      <c r="V10" s="735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0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0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0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</row>
    <row r="11" spans="1:256" ht="35.1" customHeight="1">
      <c r="A11" s="754"/>
      <c r="B11" s="735"/>
      <c r="C11" s="735"/>
      <c r="D11" s="735"/>
      <c r="E11" s="735"/>
      <c r="F11" s="746"/>
      <c r="G11" s="735"/>
      <c r="H11" s="738"/>
      <c r="I11" s="743"/>
      <c r="J11" s="735"/>
      <c r="K11" s="738"/>
      <c r="L11" s="735"/>
      <c r="M11" s="735"/>
      <c r="N11" s="735"/>
      <c r="O11" s="735"/>
      <c r="P11" s="738"/>
      <c r="Q11" s="735"/>
      <c r="R11" s="735"/>
      <c r="S11" s="735"/>
      <c r="T11" s="735"/>
      <c r="U11" s="735"/>
      <c r="V11" s="735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0"/>
      <c r="EO11" s="110"/>
      <c r="EP11" s="110"/>
      <c r="EQ11" s="110"/>
      <c r="ER11" s="110"/>
      <c r="ES11" s="110"/>
      <c r="ET11" s="110"/>
      <c r="EU11" s="110"/>
      <c r="EV11" s="110"/>
      <c r="EW11" s="110"/>
      <c r="EX11" s="110"/>
      <c r="EY11" s="110"/>
      <c r="EZ11" s="110"/>
      <c r="FA11" s="110"/>
      <c r="FB11" s="110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0"/>
      <c r="FR11" s="110"/>
      <c r="FS11" s="110"/>
      <c r="FT11" s="110"/>
      <c r="FU11" s="110"/>
      <c r="FV11" s="110"/>
      <c r="FW11" s="110"/>
      <c r="FX11" s="110"/>
      <c r="FY11" s="110"/>
      <c r="FZ11" s="110"/>
      <c r="GA11" s="110"/>
      <c r="GB11" s="110"/>
      <c r="GC11" s="110"/>
      <c r="GD11" s="110"/>
      <c r="GE11" s="110"/>
      <c r="GF11" s="110"/>
      <c r="GG11" s="110"/>
      <c r="GH11" s="110"/>
      <c r="GI11" s="110"/>
      <c r="GJ11" s="110"/>
      <c r="GK11" s="110"/>
      <c r="GL11" s="110"/>
      <c r="GM11" s="110"/>
      <c r="GN11" s="110"/>
      <c r="GO11" s="110"/>
      <c r="GP11" s="110"/>
      <c r="GQ11" s="110"/>
      <c r="GR11" s="110"/>
      <c r="GS11" s="110"/>
      <c r="GT11" s="110"/>
      <c r="GU11" s="110"/>
      <c r="GV11" s="110"/>
      <c r="GW11" s="110"/>
      <c r="GX11" s="110"/>
      <c r="GY11" s="110"/>
      <c r="GZ11" s="110"/>
      <c r="HA11" s="110"/>
      <c r="HB11" s="110"/>
      <c r="HC11" s="110"/>
      <c r="HD11" s="110"/>
      <c r="HE11" s="110"/>
      <c r="HF11" s="110"/>
      <c r="HG11" s="110"/>
      <c r="HH11" s="110"/>
      <c r="HI11" s="110"/>
      <c r="HJ11" s="110"/>
      <c r="HK11" s="110"/>
      <c r="HL11" s="110"/>
      <c r="HM11" s="110"/>
      <c r="HN11" s="110"/>
      <c r="HO11" s="110"/>
      <c r="HP11" s="110"/>
      <c r="HQ11" s="110"/>
      <c r="HR11" s="110"/>
      <c r="HS11" s="110"/>
      <c r="HT11" s="110"/>
      <c r="HU11" s="110"/>
      <c r="HV11" s="110"/>
      <c r="HW11" s="110"/>
      <c r="HX11" s="110"/>
      <c r="HY11" s="110"/>
      <c r="HZ11" s="110"/>
      <c r="IA11" s="110"/>
      <c r="IB11" s="110"/>
      <c r="IC11" s="110"/>
      <c r="ID11" s="110"/>
      <c r="IE11" s="110"/>
      <c r="IF11" s="110"/>
      <c r="IG11" s="110"/>
      <c r="IH11" s="110"/>
      <c r="II11" s="110"/>
      <c r="IJ11" s="110"/>
      <c r="IK11" s="110"/>
      <c r="IL11" s="110"/>
      <c r="IM11" s="110"/>
      <c r="IN11" s="110"/>
      <c r="IO11" s="110"/>
      <c r="IP11" s="110"/>
      <c r="IQ11" s="110"/>
      <c r="IR11" s="110"/>
      <c r="IS11" s="110"/>
      <c r="IT11" s="110"/>
      <c r="IU11" s="110"/>
      <c r="IV11" s="110"/>
    </row>
    <row r="12" spans="1:256" ht="35.1" customHeight="1">
      <c r="A12" s="755"/>
      <c r="B12" s="736"/>
      <c r="C12" s="736"/>
      <c r="D12" s="736"/>
      <c r="E12" s="736"/>
      <c r="F12" s="747"/>
      <c r="G12" s="736"/>
      <c r="H12" s="739"/>
      <c r="I12" s="744"/>
      <c r="J12" s="736"/>
      <c r="K12" s="739"/>
      <c r="L12" s="736"/>
      <c r="M12" s="736"/>
      <c r="N12" s="736"/>
      <c r="O12" s="736"/>
      <c r="P12" s="739"/>
      <c r="Q12" s="736"/>
      <c r="R12" s="736"/>
      <c r="S12" s="736"/>
      <c r="T12" s="736"/>
      <c r="U12" s="736"/>
      <c r="V12" s="736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0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0"/>
      <c r="EO12" s="110"/>
      <c r="EP12" s="110"/>
      <c r="EQ12" s="110"/>
      <c r="ER12" s="110"/>
      <c r="ES12" s="110"/>
      <c r="ET12" s="110"/>
      <c r="EU12" s="110"/>
      <c r="EV12" s="110"/>
      <c r="EW12" s="110"/>
      <c r="EX12" s="110"/>
      <c r="EY12" s="110"/>
      <c r="EZ12" s="110"/>
      <c r="FA12" s="110"/>
      <c r="FB12" s="110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0"/>
      <c r="FR12" s="110"/>
      <c r="FS12" s="110"/>
      <c r="FT12" s="110"/>
      <c r="FU12" s="110"/>
      <c r="FV12" s="110"/>
      <c r="FW12" s="110"/>
      <c r="FX12" s="110"/>
      <c r="FY12" s="110"/>
      <c r="FZ12" s="110"/>
      <c r="GA12" s="110"/>
      <c r="GB12" s="110"/>
      <c r="GC12" s="110"/>
      <c r="GD12" s="110"/>
      <c r="GE12" s="110"/>
      <c r="GF12" s="110"/>
      <c r="GG12" s="110"/>
      <c r="GH12" s="110"/>
      <c r="GI12" s="110"/>
      <c r="GJ12" s="110"/>
      <c r="GK12" s="110"/>
      <c r="GL12" s="110"/>
      <c r="GM12" s="110"/>
      <c r="GN12" s="110"/>
      <c r="GO12" s="110"/>
      <c r="GP12" s="110"/>
      <c r="GQ12" s="110"/>
      <c r="GR12" s="110"/>
      <c r="GS12" s="110"/>
      <c r="GT12" s="110"/>
      <c r="GU12" s="110"/>
      <c r="GV12" s="110"/>
      <c r="GW12" s="110"/>
      <c r="GX12" s="110"/>
      <c r="GY12" s="110"/>
      <c r="GZ12" s="110"/>
      <c r="HA12" s="110"/>
      <c r="HB12" s="110"/>
      <c r="HC12" s="110"/>
      <c r="HD12" s="110"/>
      <c r="HE12" s="110"/>
      <c r="HF12" s="110"/>
      <c r="HG12" s="110"/>
      <c r="HH12" s="110"/>
      <c r="HI12" s="110"/>
      <c r="HJ12" s="110"/>
      <c r="HK12" s="110"/>
      <c r="HL12" s="110"/>
      <c r="HM12" s="110"/>
      <c r="HN12" s="110"/>
      <c r="HO12" s="110"/>
      <c r="HP12" s="110"/>
      <c r="HQ12" s="110"/>
      <c r="HR12" s="110"/>
      <c r="HS12" s="110"/>
      <c r="HT12" s="110"/>
      <c r="HU12" s="110"/>
      <c r="HV12" s="110"/>
      <c r="HW12" s="110"/>
      <c r="HX12" s="110"/>
      <c r="HY12" s="110"/>
      <c r="HZ12" s="110"/>
      <c r="IA12" s="110"/>
      <c r="IB12" s="110"/>
      <c r="IC12" s="110"/>
      <c r="ID12" s="110"/>
      <c r="IE12" s="110"/>
      <c r="IF12" s="110"/>
      <c r="IG12" s="110"/>
      <c r="IH12" s="110"/>
      <c r="II12" s="110"/>
      <c r="IJ12" s="110"/>
      <c r="IK12" s="110"/>
      <c r="IL12" s="110"/>
      <c r="IM12" s="110"/>
      <c r="IN12" s="110"/>
      <c r="IO12" s="110"/>
      <c r="IP12" s="110"/>
      <c r="IQ12" s="110"/>
      <c r="IR12" s="110"/>
      <c r="IS12" s="110"/>
      <c r="IT12" s="110"/>
      <c r="IU12" s="110"/>
      <c r="IV12" s="110"/>
    </row>
    <row r="13" spans="1:256" ht="150" customHeight="1">
      <c r="A13" s="787" t="s">
        <v>143</v>
      </c>
      <c r="B13" s="788" t="s">
        <v>817</v>
      </c>
      <c r="C13" s="544" t="s">
        <v>818</v>
      </c>
      <c r="D13" s="111" t="s">
        <v>819</v>
      </c>
      <c r="E13" s="111" t="s">
        <v>820</v>
      </c>
      <c r="F13" s="112">
        <v>7</v>
      </c>
      <c r="G13" s="113"/>
      <c r="H13" s="114" t="s">
        <v>821</v>
      </c>
      <c r="I13" s="111" t="s">
        <v>822</v>
      </c>
      <c r="J13" s="112">
        <v>2</v>
      </c>
      <c r="K13" s="115" t="s">
        <v>823</v>
      </c>
      <c r="L13" s="112">
        <v>6</v>
      </c>
      <c r="M13" s="116">
        <v>726</v>
      </c>
      <c r="N13" s="116">
        <f>F13*J13*L13</f>
        <v>84</v>
      </c>
      <c r="O13" s="117" t="s">
        <v>55</v>
      </c>
      <c r="P13" s="118" t="s">
        <v>55</v>
      </c>
      <c r="Q13" s="118" t="s">
        <v>55</v>
      </c>
      <c r="R13" s="118" t="s">
        <v>55</v>
      </c>
      <c r="S13" s="118" t="s">
        <v>55</v>
      </c>
      <c r="T13" s="118" t="s">
        <v>55</v>
      </c>
      <c r="U13" s="118" t="s">
        <v>55</v>
      </c>
      <c r="V13" s="582"/>
      <c r="W13" s="582"/>
      <c r="X13" s="582"/>
      <c r="Y13" s="582"/>
      <c r="Z13" s="582"/>
      <c r="AA13" s="582"/>
      <c r="AB13" s="582"/>
      <c r="AC13" s="582"/>
      <c r="AD13" s="582"/>
      <c r="AE13" s="582"/>
      <c r="AF13" s="582"/>
      <c r="AG13" s="582"/>
      <c r="AH13" s="582"/>
      <c r="AI13" s="582"/>
      <c r="AJ13" s="582"/>
      <c r="AK13" s="582"/>
      <c r="AL13" s="582"/>
      <c r="AM13" s="582"/>
      <c r="AN13" s="582"/>
      <c r="AO13" s="582"/>
      <c r="AP13" s="582"/>
      <c r="AQ13" s="582"/>
      <c r="AR13" s="582"/>
      <c r="AS13" s="582"/>
      <c r="AT13" s="582"/>
      <c r="AU13" s="582"/>
      <c r="AV13" s="582"/>
      <c r="AW13" s="582"/>
      <c r="AX13" s="582"/>
      <c r="AY13" s="582"/>
      <c r="AZ13" s="582"/>
      <c r="BA13" s="582"/>
      <c r="BB13" s="582"/>
      <c r="BC13" s="582"/>
      <c r="BD13" s="582"/>
      <c r="BE13" s="582"/>
      <c r="BF13" s="582"/>
      <c r="BG13" s="582"/>
      <c r="BH13" s="582"/>
      <c r="BI13" s="582"/>
      <c r="BJ13" s="582"/>
      <c r="BK13" s="582"/>
      <c r="BL13" s="582"/>
      <c r="BM13" s="582"/>
      <c r="BN13" s="582"/>
      <c r="BO13" s="582"/>
      <c r="BP13" s="582"/>
      <c r="BQ13" s="582"/>
      <c r="BR13" s="582"/>
      <c r="BS13" s="582"/>
      <c r="BT13" s="582"/>
      <c r="BU13" s="582"/>
      <c r="BV13" s="582"/>
      <c r="BW13" s="582"/>
      <c r="BX13" s="582"/>
      <c r="BY13" s="582"/>
      <c r="BZ13" s="582"/>
      <c r="CA13" s="582"/>
      <c r="CB13" s="582"/>
      <c r="CC13" s="582"/>
      <c r="CD13" s="582"/>
      <c r="CE13" s="582"/>
      <c r="CF13" s="582"/>
      <c r="CG13" s="582"/>
      <c r="CH13" s="582"/>
      <c r="CI13" s="582"/>
      <c r="CJ13" s="582"/>
      <c r="CK13" s="582"/>
      <c r="CL13" s="582"/>
      <c r="CM13" s="582"/>
      <c r="CN13" s="582"/>
      <c r="CO13" s="582"/>
      <c r="CP13" s="582"/>
      <c r="CQ13" s="582"/>
      <c r="CR13" s="582"/>
      <c r="CS13" s="582"/>
      <c r="CT13" s="582"/>
      <c r="CU13" s="582"/>
      <c r="CV13" s="582"/>
      <c r="CW13" s="582"/>
      <c r="CX13" s="582"/>
      <c r="CY13" s="582"/>
      <c r="CZ13" s="582"/>
      <c r="DA13" s="582"/>
      <c r="DB13" s="582"/>
      <c r="DC13" s="582"/>
      <c r="DD13" s="582"/>
      <c r="DE13" s="582"/>
      <c r="DF13" s="582"/>
      <c r="DG13" s="582"/>
      <c r="DH13" s="582"/>
      <c r="DI13" s="582"/>
      <c r="DJ13" s="582"/>
      <c r="DK13" s="582"/>
      <c r="DL13" s="582"/>
      <c r="DM13" s="582"/>
      <c r="DN13" s="582"/>
      <c r="DO13" s="582"/>
      <c r="DP13" s="582"/>
      <c r="DQ13" s="582"/>
      <c r="DR13" s="582"/>
      <c r="DS13" s="582"/>
      <c r="DT13" s="582"/>
      <c r="DU13" s="582"/>
      <c r="DV13" s="582"/>
      <c r="DW13" s="582"/>
      <c r="DX13" s="582"/>
      <c r="DY13" s="582"/>
      <c r="DZ13" s="582"/>
      <c r="EA13" s="582"/>
      <c r="EB13" s="582"/>
      <c r="EC13" s="582"/>
      <c r="ED13" s="582"/>
      <c r="EE13" s="582"/>
      <c r="EF13" s="582"/>
      <c r="EG13" s="582"/>
      <c r="EH13" s="582"/>
      <c r="EI13" s="582"/>
      <c r="EJ13" s="582"/>
      <c r="EK13" s="582"/>
      <c r="EL13" s="582"/>
      <c r="EM13" s="582"/>
      <c r="EN13" s="582"/>
      <c r="EO13" s="582"/>
      <c r="EP13" s="582"/>
      <c r="EQ13" s="582"/>
      <c r="ER13" s="582"/>
      <c r="ES13" s="582"/>
      <c r="ET13" s="582"/>
      <c r="EU13" s="582"/>
      <c r="EV13" s="582"/>
      <c r="EW13" s="582"/>
      <c r="EX13" s="582"/>
      <c r="EY13" s="582"/>
      <c r="EZ13" s="582"/>
      <c r="FA13" s="582"/>
      <c r="FB13" s="582"/>
      <c r="FC13" s="582"/>
      <c r="FD13" s="582"/>
      <c r="FE13" s="582"/>
      <c r="FF13" s="582"/>
      <c r="FG13" s="582"/>
      <c r="FH13" s="582"/>
      <c r="FI13" s="582"/>
      <c r="FJ13" s="582"/>
      <c r="FK13" s="582"/>
      <c r="FL13" s="582"/>
      <c r="FM13" s="582"/>
      <c r="FN13" s="582"/>
      <c r="FO13" s="582"/>
      <c r="FP13" s="582"/>
      <c r="FQ13" s="582"/>
      <c r="FR13" s="582"/>
      <c r="FS13" s="582"/>
      <c r="FT13" s="582"/>
      <c r="FU13" s="582"/>
      <c r="FV13" s="582"/>
      <c r="FW13" s="582"/>
      <c r="FX13" s="582"/>
      <c r="FY13" s="582"/>
      <c r="FZ13" s="582"/>
      <c r="GA13" s="582"/>
      <c r="GB13" s="582"/>
      <c r="GC13" s="582"/>
      <c r="GD13" s="582"/>
      <c r="GE13" s="582"/>
      <c r="GF13" s="582"/>
      <c r="GG13" s="582"/>
      <c r="GH13" s="582"/>
      <c r="GI13" s="582"/>
      <c r="GJ13" s="582"/>
      <c r="GK13" s="582"/>
      <c r="GL13" s="582"/>
      <c r="GM13" s="582"/>
      <c r="GN13" s="582"/>
      <c r="GO13" s="582"/>
      <c r="GP13" s="582"/>
      <c r="GQ13" s="582"/>
      <c r="GR13" s="582"/>
      <c r="GS13" s="582"/>
      <c r="GT13" s="582"/>
      <c r="GU13" s="582"/>
      <c r="GV13" s="582"/>
      <c r="GW13" s="582"/>
      <c r="GX13" s="582"/>
      <c r="GY13" s="582"/>
      <c r="GZ13" s="582"/>
      <c r="HA13" s="582"/>
      <c r="HB13" s="582"/>
      <c r="HC13" s="582"/>
      <c r="HD13" s="582"/>
      <c r="HE13" s="582"/>
      <c r="HF13" s="582"/>
      <c r="HG13" s="582"/>
      <c r="HH13" s="582"/>
      <c r="HI13" s="582"/>
      <c r="HJ13" s="582"/>
      <c r="HK13" s="582"/>
      <c r="HL13" s="582"/>
      <c r="HM13" s="582"/>
      <c r="HN13" s="582"/>
      <c r="HO13" s="582"/>
      <c r="HP13" s="582"/>
      <c r="HQ13" s="582"/>
      <c r="HR13" s="582"/>
      <c r="HS13" s="582"/>
      <c r="HT13" s="582"/>
      <c r="HU13" s="582"/>
      <c r="HV13" s="582"/>
      <c r="HW13" s="582"/>
      <c r="HX13" s="582"/>
      <c r="HY13" s="582"/>
      <c r="HZ13" s="582"/>
      <c r="IA13" s="582"/>
      <c r="IB13" s="582"/>
      <c r="IC13" s="582"/>
      <c r="ID13" s="582"/>
      <c r="IE13" s="582"/>
      <c r="IF13" s="582"/>
      <c r="IG13" s="582"/>
      <c r="IH13" s="582"/>
      <c r="II13" s="582"/>
      <c r="IJ13" s="582"/>
      <c r="IK13" s="582"/>
      <c r="IL13" s="582"/>
      <c r="IM13" s="582"/>
      <c r="IN13" s="582"/>
      <c r="IO13" s="582"/>
      <c r="IP13" s="582"/>
      <c r="IQ13" s="582"/>
      <c r="IR13" s="582"/>
      <c r="IS13" s="582"/>
      <c r="IT13" s="582"/>
      <c r="IU13" s="582"/>
    </row>
    <row r="14" spans="1:256" ht="150" customHeight="1">
      <c r="A14" s="788"/>
      <c r="B14" s="788"/>
      <c r="C14" s="544" t="s">
        <v>146</v>
      </c>
      <c r="D14" s="111" t="s">
        <v>145</v>
      </c>
      <c r="E14" s="111" t="s">
        <v>144</v>
      </c>
      <c r="F14" s="112">
        <v>7</v>
      </c>
      <c r="G14" s="113"/>
      <c r="H14" s="114" t="s">
        <v>147</v>
      </c>
      <c r="I14" s="111" t="s">
        <v>148</v>
      </c>
      <c r="J14" s="112">
        <v>3</v>
      </c>
      <c r="K14" s="115" t="s">
        <v>149</v>
      </c>
      <c r="L14" s="112">
        <v>6</v>
      </c>
      <c r="M14" s="116">
        <v>736</v>
      </c>
      <c r="N14" s="116">
        <f>F14*J14*L14</f>
        <v>126</v>
      </c>
      <c r="O14" s="114" t="s">
        <v>824</v>
      </c>
      <c r="P14" s="115" t="s">
        <v>825</v>
      </c>
      <c r="Q14" s="115" t="s">
        <v>826</v>
      </c>
      <c r="R14" s="118">
        <v>7</v>
      </c>
      <c r="S14" s="118">
        <v>3</v>
      </c>
      <c r="T14" s="118">
        <v>5</v>
      </c>
      <c r="U14" s="118">
        <f>R14*S14*T14</f>
        <v>105</v>
      </c>
      <c r="V14" s="582"/>
      <c r="W14" s="582"/>
      <c r="X14" s="582"/>
      <c r="Y14" s="582"/>
      <c r="Z14" s="582"/>
      <c r="AA14" s="582"/>
      <c r="AB14" s="582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  <c r="AN14" s="582"/>
      <c r="AO14" s="582"/>
      <c r="AP14" s="582"/>
      <c r="AQ14" s="582"/>
      <c r="AR14" s="582"/>
      <c r="AS14" s="582"/>
      <c r="AT14" s="582"/>
      <c r="AU14" s="582"/>
      <c r="AV14" s="582"/>
      <c r="AW14" s="582"/>
      <c r="AX14" s="582"/>
      <c r="AY14" s="582"/>
      <c r="AZ14" s="582"/>
      <c r="BA14" s="582"/>
      <c r="BB14" s="582"/>
      <c r="BC14" s="582"/>
      <c r="BD14" s="582"/>
      <c r="BE14" s="582"/>
      <c r="BF14" s="582"/>
      <c r="BG14" s="582"/>
      <c r="BH14" s="582"/>
      <c r="BI14" s="582"/>
      <c r="BJ14" s="582"/>
      <c r="BK14" s="582"/>
      <c r="BL14" s="582"/>
      <c r="BM14" s="582"/>
      <c r="BN14" s="582"/>
      <c r="BO14" s="582"/>
      <c r="BP14" s="582"/>
      <c r="BQ14" s="582"/>
      <c r="BR14" s="582"/>
      <c r="BS14" s="582"/>
      <c r="BT14" s="582"/>
      <c r="BU14" s="582"/>
      <c r="BV14" s="582"/>
      <c r="BW14" s="582"/>
      <c r="BX14" s="582"/>
      <c r="BY14" s="582"/>
      <c r="BZ14" s="582"/>
      <c r="CA14" s="582"/>
      <c r="CB14" s="582"/>
      <c r="CC14" s="582"/>
      <c r="CD14" s="582"/>
      <c r="CE14" s="582"/>
      <c r="CF14" s="582"/>
      <c r="CG14" s="582"/>
      <c r="CH14" s="582"/>
      <c r="CI14" s="582"/>
      <c r="CJ14" s="582"/>
      <c r="CK14" s="582"/>
      <c r="CL14" s="582"/>
      <c r="CM14" s="582"/>
      <c r="CN14" s="582"/>
      <c r="CO14" s="582"/>
      <c r="CP14" s="582"/>
      <c r="CQ14" s="582"/>
      <c r="CR14" s="582"/>
      <c r="CS14" s="582"/>
      <c r="CT14" s="582"/>
      <c r="CU14" s="582"/>
      <c r="CV14" s="582"/>
      <c r="CW14" s="582"/>
      <c r="CX14" s="582"/>
      <c r="CY14" s="582"/>
      <c r="CZ14" s="582"/>
      <c r="DA14" s="582"/>
      <c r="DB14" s="582"/>
      <c r="DC14" s="582"/>
      <c r="DD14" s="582"/>
      <c r="DE14" s="582"/>
      <c r="DF14" s="582"/>
      <c r="DG14" s="582"/>
      <c r="DH14" s="582"/>
      <c r="DI14" s="582"/>
      <c r="DJ14" s="582"/>
      <c r="DK14" s="582"/>
      <c r="DL14" s="582"/>
      <c r="DM14" s="582"/>
      <c r="DN14" s="582"/>
      <c r="DO14" s="582"/>
      <c r="DP14" s="582"/>
      <c r="DQ14" s="582"/>
      <c r="DR14" s="582"/>
      <c r="DS14" s="582"/>
      <c r="DT14" s="582"/>
      <c r="DU14" s="582"/>
      <c r="DV14" s="582"/>
      <c r="DW14" s="582"/>
      <c r="DX14" s="582"/>
      <c r="DY14" s="582"/>
      <c r="DZ14" s="582"/>
      <c r="EA14" s="582"/>
      <c r="EB14" s="582"/>
      <c r="EC14" s="582"/>
      <c r="ED14" s="582"/>
      <c r="EE14" s="582"/>
      <c r="EF14" s="582"/>
      <c r="EG14" s="582"/>
      <c r="EH14" s="582"/>
      <c r="EI14" s="582"/>
      <c r="EJ14" s="582"/>
      <c r="EK14" s="582"/>
      <c r="EL14" s="582"/>
      <c r="EM14" s="582"/>
      <c r="EN14" s="582"/>
      <c r="EO14" s="582"/>
      <c r="EP14" s="582"/>
      <c r="EQ14" s="582"/>
      <c r="ER14" s="582"/>
      <c r="ES14" s="582"/>
      <c r="ET14" s="582"/>
      <c r="EU14" s="582"/>
      <c r="EV14" s="582"/>
      <c r="EW14" s="582"/>
      <c r="EX14" s="582"/>
      <c r="EY14" s="582"/>
      <c r="EZ14" s="582"/>
      <c r="FA14" s="582"/>
      <c r="FB14" s="582"/>
      <c r="FC14" s="582"/>
      <c r="FD14" s="582"/>
      <c r="FE14" s="582"/>
      <c r="FF14" s="582"/>
      <c r="FG14" s="582"/>
      <c r="FH14" s="582"/>
      <c r="FI14" s="582"/>
      <c r="FJ14" s="582"/>
      <c r="FK14" s="582"/>
      <c r="FL14" s="582"/>
      <c r="FM14" s="582"/>
      <c r="FN14" s="582"/>
      <c r="FO14" s="582"/>
      <c r="FP14" s="582"/>
      <c r="FQ14" s="582"/>
      <c r="FR14" s="582"/>
      <c r="FS14" s="582"/>
      <c r="FT14" s="582"/>
      <c r="FU14" s="582"/>
      <c r="FV14" s="582"/>
      <c r="FW14" s="582"/>
      <c r="FX14" s="582"/>
      <c r="FY14" s="582"/>
      <c r="FZ14" s="582"/>
      <c r="GA14" s="582"/>
      <c r="GB14" s="582"/>
      <c r="GC14" s="582"/>
      <c r="GD14" s="582"/>
      <c r="GE14" s="582"/>
      <c r="GF14" s="582"/>
      <c r="GG14" s="582"/>
      <c r="GH14" s="582"/>
      <c r="GI14" s="582"/>
      <c r="GJ14" s="582"/>
      <c r="GK14" s="582"/>
      <c r="GL14" s="582"/>
      <c r="GM14" s="582"/>
      <c r="GN14" s="582"/>
      <c r="GO14" s="582"/>
      <c r="GP14" s="582"/>
      <c r="GQ14" s="582"/>
      <c r="GR14" s="582"/>
      <c r="GS14" s="582"/>
      <c r="GT14" s="582"/>
      <c r="GU14" s="582"/>
      <c r="GV14" s="582"/>
      <c r="GW14" s="582"/>
      <c r="GX14" s="582"/>
      <c r="GY14" s="582"/>
      <c r="GZ14" s="582"/>
      <c r="HA14" s="582"/>
      <c r="HB14" s="582"/>
      <c r="HC14" s="582"/>
      <c r="HD14" s="582"/>
      <c r="HE14" s="582"/>
      <c r="HF14" s="582"/>
      <c r="HG14" s="582"/>
      <c r="HH14" s="582"/>
      <c r="HI14" s="582"/>
      <c r="HJ14" s="582"/>
      <c r="HK14" s="582"/>
      <c r="HL14" s="582"/>
      <c r="HM14" s="582"/>
      <c r="HN14" s="582"/>
      <c r="HO14" s="582"/>
      <c r="HP14" s="582"/>
      <c r="HQ14" s="582"/>
      <c r="HR14" s="582"/>
      <c r="HS14" s="582"/>
      <c r="HT14" s="582"/>
      <c r="HU14" s="582"/>
      <c r="HV14" s="582"/>
      <c r="HW14" s="582"/>
      <c r="HX14" s="582"/>
      <c r="HY14" s="582"/>
      <c r="HZ14" s="582"/>
      <c r="IA14" s="582"/>
      <c r="IB14" s="582"/>
      <c r="IC14" s="582"/>
      <c r="ID14" s="582"/>
      <c r="IE14" s="582"/>
      <c r="IF14" s="582"/>
      <c r="IG14" s="582"/>
      <c r="IH14" s="582"/>
      <c r="II14" s="582"/>
      <c r="IJ14" s="582"/>
      <c r="IK14" s="582"/>
      <c r="IL14" s="582"/>
      <c r="IM14" s="582"/>
      <c r="IN14" s="582"/>
      <c r="IO14" s="582"/>
      <c r="IP14" s="582"/>
      <c r="IQ14" s="582"/>
      <c r="IR14" s="582"/>
      <c r="IS14" s="582"/>
      <c r="IT14" s="582"/>
      <c r="IU14" s="582"/>
    </row>
    <row r="15" spans="1:256" ht="150" customHeight="1">
      <c r="A15" s="788"/>
      <c r="B15" s="788"/>
      <c r="C15" s="583" t="s">
        <v>827</v>
      </c>
      <c r="D15" s="115" t="s">
        <v>828</v>
      </c>
      <c r="E15" s="111" t="s">
        <v>829</v>
      </c>
      <c r="F15" s="112">
        <v>7</v>
      </c>
      <c r="G15" s="113"/>
      <c r="H15" s="114" t="s">
        <v>830</v>
      </c>
      <c r="I15" s="111" t="s">
        <v>831</v>
      </c>
      <c r="J15" s="112">
        <v>2</v>
      </c>
      <c r="K15" s="115" t="s">
        <v>832</v>
      </c>
      <c r="L15" s="112">
        <v>6</v>
      </c>
      <c r="M15" s="116">
        <v>726</v>
      </c>
      <c r="N15" s="116">
        <f>F15*J15*L15</f>
        <v>84</v>
      </c>
      <c r="O15" s="115" t="s">
        <v>833</v>
      </c>
      <c r="P15" s="115" t="s">
        <v>834</v>
      </c>
      <c r="Q15" s="115" t="s">
        <v>833</v>
      </c>
      <c r="R15" s="118">
        <v>7</v>
      </c>
      <c r="S15" s="118">
        <v>2</v>
      </c>
      <c r="T15" s="118">
        <v>5</v>
      </c>
      <c r="U15" s="118">
        <f>R15*S15*T15</f>
        <v>70</v>
      </c>
      <c r="V15" s="582"/>
      <c r="W15" s="582"/>
      <c r="X15" s="582"/>
      <c r="Y15" s="582"/>
      <c r="Z15" s="582"/>
      <c r="AA15" s="582"/>
      <c r="AB15" s="582"/>
      <c r="AC15" s="582"/>
      <c r="AD15" s="582"/>
      <c r="AE15" s="582"/>
      <c r="AF15" s="582"/>
      <c r="AG15" s="582"/>
      <c r="AH15" s="582"/>
      <c r="AI15" s="582"/>
      <c r="AJ15" s="582"/>
      <c r="AK15" s="582"/>
      <c r="AL15" s="582"/>
      <c r="AM15" s="582"/>
      <c r="AN15" s="582"/>
      <c r="AO15" s="582"/>
      <c r="AP15" s="582"/>
      <c r="AQ15" s="582"/>
      <c r="AR15" s="582"/>
      <c r="AS15" s="582"/>
      <c r="AT15" s="582"/>
      <c r="AU15" s="582"/>
      <c r="AV15" s="582"/>
      <c r="AW15" s="582"/>
      <c r="AX15" s="582"/>
      <c r="AY15" s="582"/>
      <c r="AZ15" s="582"/>
      <c r="BA15" s="582"/>
      <c r="BB15" s="582"/>
      <c r="BC15" s="582"/>
      <c r="BD15" s="582"/>
      <c r="BE15" s="582"/>
      <c r="BF15" s="582"/>
      <c r="BG15" s="582"/>
      <c r="BH15" s="582"/>
      <c r="BI15" s="582"/>
      <c r="BJ15" s="582"/>
      <c r="BK15" s="582"/>
      <c r="BL15" s="582"/>
      <c r="BM15" s="582"/>
      <c r="BN15" s="582"/>
      <c r="BO15" s="582"/>
      <c r="BP15" s="582"/>
      <c r="BQ15" s="582"/>
      <c r="BR15" s="582"/>
      <c r="BS15" s="582"/>
      <c r="BT15" s="582"/>
      <c r="BU15" s="582"/>
      <c r="BV15" s="582"/>
      <c r="BW15" s="582"/>
      <c r="BX15" s="582"/>
      <c r="BY15" s="582"/>
      <c r="BZ15" s="582"/>
      <c r="CA15" s="582"/>
      <c r="CB15" s="582"/>
      <c r="CC15" s="582"/>
      <c r="CD15" s="582"/>
      <c r="CE15" s="582"/>
      <c r="CF15" s="582"/>
      <c r="CG15" s="582"/>
      <c r="CH15" s="582"/>
      <c r="CI15" s="582"/>
      <c r="CJ15" s="582"/>
      <c r="CK15" s="582"/>
      <c r="CL15" s="582"/>
      <c r="CM15" s="582"/>
      <c r="CN15" s="582"/>
      <c r="CO15" s="582"/>
      <c r="CP15" s="582"/>
      <c r="CQ15" s="582"/>
      <c r="CR15" s="582"/>
      <c r="CS15" s="582"/>
      <c r="CT15" s="582"/>
      <c r="CU15" s="582"/>
      <c r="CV15" s="582"/>
      <c r="CW15" s="582"/>
      <c r="CX15" s="582"/>
      <c r="CY15" s="582"/>
      <c r="CZ15" s="582"/>
      <c r="DA15" s="582"/>
      <c r="DB15" s="582"/>
      <c r="DC15" s="582"/>
      <c r="DD15" s="582"/>
      <c r="DE15" s="582"/>
      <c r="DF15" s="582"/>
      <c r="DG15" s="582"/>
      <c r="DH15" s="582"/>
      <c r="DI15" s="582"/>
      <c r="DJ15" s="582"/>
      <c r="DK15" s="582"/>
      <c r="DL15" s="582"/>
      <c r="DM15" s="582"/>
      <c r="DN15" s="582"/>
      <c r="DO15" s="582"/>
      <c r="DP15" s="582"/>
      <c r="DQ15" s="582"/>
      <c r="DR15" s="582"/>
      <c r="DS15" s="582"/>
      <c r="DT15" s="582"/>
      <c r="DU15" s="582"/>
      <c r="DV15" s="582"/>
      <c r="DW15" s="582"/>
      <c r="DX15" s="582"/>
      <c r="DY15" s="582"/>
      <c r="DZ15" s="582"/>
      <c r="EA15" s="582"/>
      <c r="EB15" s="582"/>
      <c r="EC15" s="582"/>
      <c r="ED15" s="582"/>
      <c r="EE15" s="582"/>
      <c r="EF15" s="582"/>
      <c r="EG15" s="582"/>
      <c r="EH15" s="582"/>
      <c r="EI15" s="582"/>
      <c r="EJ15" s="582"/>
      <c r="EK15" s="582"/>
      <c r="EL15" s="582"/>
      <c r="EM15" s="582"/>
      <c r="EN15" s="582"/>
      <c r="EO15" s="582"/>
      <c r="EP15" s="582"/>
      <c r="EQ15" s="582"/>
      <c r="ER15" s="582"/>
      <c r="ES15" s="582"/>
      <c r="ET15" s="582"/>
      <c r="EU15" s="582"/>
      <c r="EV15" s="582"/>
      <c r="EW15" s="582"/>
      <c r="EX15" s="582"/>
      <c r="EY15" s="582"/>
      <c r="EZ15" s="582"/>
      <c r="FA15" s="582"/>
      <c r="FB15" s="582"/>
      <c r="FC15" s="582"/>
      <c r="FD15" s="582"/>
      <c r="FE15" s="582"/>
      <c r="FF15" s="582"/>
      <c r="FG15" s="582"/>
      <c r="FH15" s="582"/>
      <c r="FI15" s="582"/>
      <c r="FJ15" s="582"/>
      <c r="FK15" s="582"/>
      <c r="FL15" s="582"/>
      <c r="FM15" s="582"/>
      <c r="FN15" s="582"/>
      <c r="FO15" s="582"/>
      <c r="FP15" s="582"/>
      <c r="FQ15" s="582"/>
      <c r="FR15" s="582"/>
      <c r="FS15" s="582"/>
      <c r="FT15" s="582"/>
      <c r="FU15" s="582"/>
      <c r="FV15" s="582"/>
      <c r="FW15" s="582"/>
      <c r="FX15" s="582"/>
      <c r="FY15" s="582"/>
      <c r="FZ15" s="582"/>
      <c r="GA15" s="582"/>
      <c r="GB15" s="582"/>
      <c r="GC15" s="582"/>
      <c r="GD15" s="582"/>
      <c r="GE15" s="582"/>
      <c r="GF15" s="582"/>
      <c r="GG15" s="582"/>
      <c r="GH15" s="582"/>
      <c r="GI15" s="582"/>
      <c r="GJ15" s="582"/>
      <c r="GK15" s="582"/>
      <c r="GL15" s="582"/>
      <c r="GM15" s="582"/>
      <c r="GN15" s="582"/>
      <c r="GO15" s="582"/>
      <c r="GP15" s="582"/>
      <c r="GQ15" s="582"/>
      <c r="GR15" s="582"/>
      <c r="GS15" s="582"/>
      <c r="GT15" s="582"/>
      <c r="GU15" s="582"/>
      <c r="GV15" s="582"/>
      <c r="GW15" s="582"/>
      <c r="GX15" s="582"/>
      <c r="GY15" s="582"/>
      <c r="GZ15" s="582"/>
      <c r="HA15" s="582"/>
      <c r="HB15" s="582"/>
      <c r="HC15" s="582"/>
      <c r="HD15" s="582"/>
      <c r="HE15" s="582"/>
      <c r="HF15" s="582"/>
      <c r="HG15" s="582"/>
      <c r="HH15" s="582"/>
      <c r="HI15" s="582"/>
      <c r="HJ15" s="582"/>
      <c r="HK15" s="582"/>
      <c r="HL15" s="582"/>
      <c r="HM15" s="582"/>
      <c r="HN15" s="582"/>
      <c r="HO15" s="582"/>
      <c r="HP15" s="582"/>
      <c r="HQ15" s="582"/>
      <c r="HR15" s="582"/>
      <c r="HS15" s="582"/>
      <c r="HT15" s="582"/>
      <c r="HU15" s="582"/>
      <c r="HV15" s="582"/>
      <c r="HW15" s="582"/>
      <c r="HX15" s="582"/>
      <c r="HY15" s="582"/>
      <c r="HZ15" s="582"/>
      <c r="IA15" s="582"/>
      <c r="IB15" s="582"/>
      <c r="IC15" s="582"/>
      <c r="ID15" s="582"/>
      <c r="IE15" s="582"/>
      <c r="IF15" s="582"/>
      <c r="IG15" s="582"/>
      <c r="IH15" s="582"/>
      <c r="II15" s="582"/>
      <c r="IJ15" s="582"/>
      <c r="IK15" s="582"/>
      <c r="IL15" s="582"/>
      <c r="IM15" s="582"/>
      <c r="IN15" s="582"/>
      <c r="IO15" s="582"/>
      <c r="IP15" s="582"/>
      <c r="IQ15" s="582"/>
      <c r="IR15" s="582"/>
      <c r="IS15" s="582"/>
      <c r="IT15" s="582"/>
      <c r="IU15" s="582"/>
    </row>
    <row r="16" spans="1:256" ht="27.75" customHeight="1">
      <c r="A16" s="700" t="s">
        <v>103</v>
      </c>
      <c r="B16" s="701"/>
      <c r="C16" s="701"/>
      <c r="D16" s="701"/>
      <c r="E16" s="702"/>
      <c r="F16" s="709" t="s">
        <v>104</v>
      </c>
      <c r="G16" s="710"/>
      <c r="H16" s="710"/>
      <c r="I16" s="710"/>
      <c r="J16" s="710"/>
      <c r="K16" s="710"/>
      <c r="L16" s="710"/>
      <c r="M16" s="710"/>
      <c r="N16" s="710"/>
      <c r="O16" s="711"/>
      <c r="P16" s="662" t="s">
        <v>105</v>
      </c>
      <c r="Q16" s="663"/>
      <c r="R16" s="663"/>
      <c r="S16" s="663"/>
      <c r="T16" s="663"/>
      <c r="U16" s="663"/>
      <c r="V16" s="664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03"/>
      <c r="DP16" s="103"/>
      <c r="DQ16" s="103"/>
      <c r="DR16" s="103"/>
      <c r="DS16" s="103"/>
      <c r="DT16" s="103"/>
      <c r="DU16" s="103"/>
      <c r="DV16" s="103"/>
      <c r="DW16" s="103"/>
      <c r="DX16" s="103"/>
      <c r="DY16" s="103"/>
      <c r="DZ16" s="103"/>
      <c r="EA16" s="103"/>
      <c r="EB16" s="103"/>
      <c r="EC16" s="103"/>
      <c r="ED16" s="103"/>
      <c r="EE16" s="103"/>
      <c r="EF16" s="103"/>
      <c r="EG16" s="103"/>
      <c r="EH16" s="103"/>
      <c r="EI16" s="103"/>
      <c r="EJ16" s="103"/>
      <c r="EK16" s="103"/>
      <c r="EL16" s="103"/>
      <c r="EM16" s="103"/>
      <c r="EN16" s="103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3"/>
      <c r="FO16" s="103"/>
      <c r="FP16" s="103"/>
      <c r="FQ16" s="103"/>
      <c r="FR16" s="103"/>
      <c r="FS16" s="103"/>
      <c r="FT16" s="103"/>
      <c r="FU16" s="103"/>
      <c r="FV16" s="103"/>
      <c r="FW16" s="103"/>
      <c r="FX16" s="103"/>
      <c r="FY16" s="103"/>
      <c r="FZ16" s="103"/>
      <c r="GA16" s="103"/>
      <c r="GB16" s="103"/>
      <c r="GC16" s="103"/>
      <c r="GD16" s="103"/>
      <c r="GE16" s="103"/>
      <c r="GF16" s="103"/>
      <c r="GG16" s="103"/>
      <c r="GH16" s="103"/>
      <c r="GI16" s="103"/>
      <c r="GJ16" s="103"/>
      <c r="GK16" s="103"/>
      <c r="GL16" s="103"/>
      <c r="GM16" s="103"/>
      <c r="GN16" s="103"/>
      <c r="GO16" s="103"/>
      <c r="GP16" s="103"/>
      <c r="GQ16" s="103"/>
      <c r="GR16" s="103"/>
      <c r="GS16" s="103"/>
      <c r="GT16" s="103"/>
      <c r="GU16" s="103"/>
      <c r="GV16" s="103"/>
      <c r="GW16" s="103"/>
      <c r="GX16" s="103"/>
      <c r="GY16" s="103"/>
      <c r="GZ16" s="103"/>
      <c r="HA16" s="103"/>
      <c r="HB16" s="103"/>
      <c r="HC16" s="103"/>
      <c r="HD16" s="103"/>
      <c r="HE16" s="103"/>
      <c r="HF16" s="103"/>
      <c r="HG16" s="103"/>
      <c r="HH16" s="103"/>
      <c r="HI16" s="103"/>
      <c r="HJ16" s="103"/>
      <c r="HK16" s="103"/>
      <c r="HL16" s="103"/>
      <c r="HM16" s="103"/>
      <c r="HN16" s="103"/>
      <c r="HO16" s="103"/>
      <c r="HP16" s="103"/>
      <c r="HQ16" s="103"/>
      <c r="HR16" s="103"/>
      <c r="HS16" s="103"/>
      <c r="HT16" s="103"/>
      <c r="HU16" s="103"/>
      <c r="HV16" s="103"/>
      <c r="HW16" s="103"/>
      <c r="HX16" s="103"/>
      <c r="HY16" s="103"/>
      <c r="HZ16" s="103"/>
      <c r="IA16" s="103"/>
      <c r="IB16" s="103"/>
      <c r="IC16" s="103"/>
      <c r="ID16" s="103"/>
      <c r="IE16" s="103"/>
      <c r="IF16" s="103"/>
      <c r="IG16" s="103"/>
      <c r="IH16" s="103"/>
      <c r="II16" s="103"/>
      <c r="IJ16" s="103"/>
      <c r="IK16" s="103"/>
      <c r="IL16" s="103"/>
      <c r="IM16" s="103"/>
      <c r="IN16" s="103"/>
      <c r="IO16" s="103"/>
      <c r="IP16" s="103"/>
      <c r="IQ16" s="103"/>
      <c r="IR16" s="103"/>
      <c r="IS16" s="103"/>
      <c r="IT16" s="103"/>
      <c r="IU16" s="103"/>
      <c r="IV16" s="103"/>
    </row>
    <row r="17" spans="1:256" ht="27.75" customHeight="1">
      <c r="A17" s="703"/>
      <c r="B17" s="704"/>
      <c r="C17" s="704"/>
      <c r="D17" s="704"/>
      <c r="E17" s="705"/>
      <c r="F17" s="712"/>
      <c r="G17" s="713"/>
      <c r="H17" s="713"/>
      <c r="I17" s="713"/>
      <c r="J17" s="713"/>
      <c r="K17" s="713"/>
      <c r="L17" s="713"/>
      <c r="M17" s="713"/>
      <c r="N17" s="713"/>
      <c r="O17" s="714"/>
      <c r="P17" s="662" t="s">
        <v>106</v>
      </c>
      <c r="Q17" s="718"/>
      <c r="R17" s="718"/>
      <c r="S17" s="718"/>
      <c r="T17" s="718"/>
      <c r="U17" s="718"/>
      <c r="V17" s="719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3"/>
      <c r="DN17" s="103"/>
      <c r="DO17" s="103"/>
      <c r="DP17" s="103"/>
      <c r="DQ17" s="103"/>
      <c r="DR17" s="103"/>
      <c r="DS17" s="103"/>
      <c r="DT17" s="103"/>
      <c r="DU17" s="103"/>
      <c r="DV17" s="103"/>
      <c r="DW17" s="103"/>
      <c r="DX17" s="103"/>
      <c r="DY17" s="103"/>
      <c r="DZ17" s="103"/>
      <c r="EA17" s="103"/>
      <c r="EB17" s="103"/>
      <c r="EC17" s="103"/>
      <c r="ED17" s="103"/>
      <c r="EE17" s="103"/>
      <c r="EF17" s="103"/>
      <c r="EG17" s="103"/>
      <c r="EH17" s="103"/>
      <c r="EI17" s="103"/>
      <c r="EJ17" s="103"/>
      <c r="EK17" s="103"/>
      <c r="EL17" s="103"/>
      <c r="EM17" s="103"/>
      <c r="EN17" s="103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3"/>
      <c r="FO17" s="103"/>
      <c r="FP17" s="103"/>
      <c r="FQ17" s="103"/>
      <c r="FR17" s="103"/>
      <c r="FS17" s="103"/>
      <c r="FT17" s="103"/>
      <c r="FU17" s="103"/>
      <c r="FV17" s="103"/>
      <c r="FW17" s="103"/>
      <c r="FX17" s="103"/>
      <c r="FY17" s="103"/>
      <c r="FZ17" s="103"/>
      <c r="GA17" s="103"/>
      <c r="GB17" s="103"/>
      <c r="GC17" s="103"/>
      <c r="GD17" s="103"/>
      <c r="GE17" s="103"/>
      <c r="GF17" s="103"/>
      <c r="GG17" s="103"/>
      <c r="GH17" s="103"/>
      <c r="GI17" s="103"/>
      <c r="GJ17" s="103"/>
      <c r="GK17" s="103"/>
      <c r="GL17" s="103"/>
      <c r="GM17" s="103"/>
      <c r="GN17" s="103"/>
      <c r="GO17" s="103"/>
      <c r="GP17" s="103"/>
      <c r="GQ17" s="103"/>
      <c r="GR17" s="103"/>
      <c r="GS17" s="103"/>
      <c r="GT17" s="103"/>
      <c r="GU17" s="103"/>
      <c r="GV17" s="103"/>
      <c r="GW17" s="103"/>
      <c r="GX17" s="103"/>
      <c r="GY17" s="103"/>
      <c r="GZ17" s="103"/>
      <c r="HA17" s="103"/>
      <c r="HB17" s="103"/>
      <c r="HC17" s="103"/>
      <c r="HD17" s="103"/>
      <c r="HE17" s="103"/>
      <c r="HF17" s="103"/>
      <c r="HG17" s="103"/>
      <c r="HH17" s="103"/>
      <c r="HI17" s="103"/>
      <c r="HJ17" s="103"/>
      <c r="HK17" s="103"/>
      <c r="HL17" s="103"/>
      <c r="HM17" s="103"/>
      <c r="HN17" s="103"/>
      <c r="HO17" s="103"/>
      <c r="HP17" s="103"/>
      <c r="HQ17" s="103"/>
      <c r="HR17" s="103"/>
      <c r="HS17" s="103"/>
      <c r="HT17" s="103"/>
      <c r="HU17" s="103"/>
      <c r="HV17" s="103"/>
      <c r="HW17" s="103"/>
      <c r="HX17" s="103"/>
      <c r="HY17" s="103"/>
      <c r="HZ17" s="103"/>
      <c r="IA17" s="103"/>
      <c r="IB17" s="103"/>
      <c r="IC17" s="103"/>
      <c r="ID17" s="103"/>
      <c r="IE17" s="103"/>
      <c r="IF17" s="103"/>
      <c r="IG17" s="103"/>
      <c r="IH17" s="103"/>
      <c r="II17" s="103"/>
      <c r="IJ17" s="103"/>
      <c r="IK17" s="103"/>
      <c r="IL17" s="103"/>
      <c r="IM17" s="103"/>
      <c r="IN17" s="103"/>
      <c r="IO17" s="103"/>
      <c r="IP17" s="103"/>
      <c r="IQ17" s="103"/>
      <c r="IR17" s="103"/>
      <c r="IS17" s="103"/>
      <c r="IT17" s="103"/>
      <c r="IU17" s="103"/>
      <c r="IV17" s="103"/>
    </row>
    <row r="18" spans="1:256" ht="27.75" customHeight="1">
      <c r="A18" s="706"/>
      <c r="B18" s="707"/>
      <c r="C18" s="707"/>
      <c r="D18" s="707"/>
      <c r="E18" s="708"/>
      <c r="F18" s="715"/>
      <c r="G18" s="716"/>
      <c r="H18" s="716"/>
      <c r="I18" s="716"/>
      <c r="J18" s="716"/>
      <c r="K18" s="716"/>
      <c r="L18" s="716"/>
      <c r="M18" s="716"/>
      <c r="N18" s="716"/>
      <c r="O18" s="717"/>
      <c r="P18" s="662" t="s">
        <v>107</v>
      </c>
      <c r="Q18" s="718"/>
      <c r="R18" s="718"/>
      <c r="S18" s="718"/>
      <c r="T18" s="718"/>
      <c r="U18" s="718"/>
      <c r="V18" s="719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  <c r="DE18" s="103"/>
      <c r="DF18" s="103"/>
      <c r="DG18" s="103"/>
      <c r="DH18" s="103"/>
      <c r="DI18" s="103"/>
      <c r="DJ18" s="103"/>
      <c r="DK18" s="103"/>
      <c r="DL18" s="103"/>
      <c r="DM18" s="103"/>
      <c r="DN18" s="103"/>
      <c r="DO18" s="103"/>
      <c r="DP18" s="103"/>
      <c r="DQ18" s="103"/>
      <c r="DR18" s="103"/>
      <c r="DS18" s="103"/>
      <c r="DT18" s="103"/>
      <c r="DU18" s="103"/>
      <c r="DV18" s="103"/>
      <c r="DW18" s="103"/>
      <c r="DX18" s="103"/>
      <c r="DY18" s="103"/>
      <c r="DZ18" s="103"/>
      <c r="EA18" s="103"/>
      <c r="EB18" s="103"/>
      <c r="EC18" s="103"/>
      <c r="ED18" s="103"/>
      <c r="EE18" s="103"/>
      <c r="EF18" s="103"/>
      <c r="EG18" s="103"/>
      <c r="EH18" s="103"/>
      <c r="EI18" s="103"/>
      <c r="EJ18" s="103"/>
      <c r="EK18" s="103"/>
      <c r="EL18" s="103"/>
      <c r="EM18" s="103"/>
      <c r="EN18" s="103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3"/>
      <c r="FO18" s="103"/>
      <c r="FP18" s="103"/>
      <c r="FQ18" s="103"/>
      <c r="FR18" s="103"/>
      <c r="FS18" s="103"/>
      <c r="FT18" s="103"/>
      <c r="FU18" s="103"/>
      <c r="FV18" s="103"/>
      <c r="FW18" s="103"/>
      <c r="FX18" s="103"/>
      <c r="FY18" s="103"/>
      <c r="FZ18" s="103"/>
      <c r="GA18" s="103"/>
      <c r="GB18" s="103"/>
      <c r="GC18" s="103"/>
      <c r="GD18" s="103"/>
      <c r="GE18" s="103"/>
      <c r="GF18" s="103"/>
      <c r="GG18" s="103"/>
      <c r="GH18" s="103"/>
      <c r="GI18" s="103"/>
      <c r="GJ18" s="103"/>
      <c r="GK18" s="103"/>
      <c r="GL18" s="103"/>
      <c r="GM18" s="103"/>
      <c r="GN18" s="103"/>
      <c r="GO18" s="103"/>
      <c r="GP18" s="103"/>
      <c r="GQ18" s="103"/>
      <c r="GR18" s="103"/>
      <c r="GS18" s="103"/>
      <c r="GT18" s="103"/>
      <c r="GU18" s="103"/>
      <c r="GV18" s="103"/>
      <c r="GW18" s="103"/>
      <c r="GX18" s="103"/>
      <c r="GY18" s="103"/>
      <c r="GZ18" s="103"/>
      <c r="HA18" s="103"/>
      <c r="HB18" s="103"/>
      <c r="HC18" s="103"/>
      <c r="HD18" s="103"/>
      <c r="HE18" s="103"/>
      <c r="HF18" s="103"/>
      <c r="HG18" s="103"/>
      <c r="HH18" s="103"/>
      <c r="HI18" s="103"/>
      <c r="HJ18" s="103"/>
      <c r="HK18" s="103"/>
      <c r="HL18" s="103"/>
      <c r="HM18" s="103"/>
      <c r="HN18" s="103"/>
      <c r="HO18" s="103"/>
      <c r="HP18" s="103"/>
      <c r="HQ18" s="103"/>
      <c r="HR18" s="103"/>
      <c r="HS18" s="103"/>
      <c r="HT18" s="103"/>
      <c r="HU18" s="103"/>
      <c r="HV18" s="103"/>
      <c r="HW18" s="103"/>
      <c r="HX18" s="103"/>
      <c r="HY18" s="103"/>
      <c r="HZ18" s="103"/>
      <c r="IA18" s="103"/>
      <c r="IB18" s="103"/>
      <c r="IC18" s="103"/>
      <c r="ID18" s="103"/>
      <c r="IE18" s="103"/>
      <c r="IF18" s="103"/>
      <c r="IG18" s="103"/>
      <c r="IH18" s="103"/>
      <c r="II18" s="103"/>
      <c r="IJ18" s="103"/>
      <c r="IK18" s="103"/>
      <c r="IL18" s="103"/>
      <c r="IM18" s="103"/>
      <c r="IN18" s="103"/>
      <c r="IO18" s="103"/>
      <c r="IP18" s="103"/>
      <c r="IQ18" s="103"/>
      <c r="IR18" s="103"/>
      <c r="IS18" s="103"/>
      <c r="IT18" s="103"/>
      <c r="IU18" s="103"/>
      <c r="IV18" s="103"/>
    </row>
    <row r="19" spans="1:256" ht="35.1" customHeight="1">
      <c r="A19" s="671" t="s">
        <v>108</v>
      </c>
      <c r="B19" s="671"/>
      <c r="C19" s="672" t="s">
        <v>839</v>
      </c>
      <c r="D19" s="673"/>
      <c r="E19" s="674"/>
      <c r="F19" s="662" t="s">
        <v>109</v>
      </c>
      <c r="G19" s="664"/>
      <c r="H19" s="692">
        <v>215331700141</v>
      </c>
      <c r="I19" s="693"/>
      <c r="J19" s="693"/>
      <c r="K19" s="694"/>
      <c r="L19" s="665" t="s">
        <v>110</v>
      </c>
      <c r="M19" s="666"/>
      <c r="N19" s="695"/>
      <c r="O19" s="696"/>
      <c r="P19" s="662" t="s">
        <v>844</v>
      </c>
      <c r="Q19" s="663"/>
      <c r="R19" s="663"/>
      <c r="S19" s="663"/>
      <c r="T19" s="663"/>
      <c r="U19" s="663"/>
      <c r="V19" s="664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3"/>
      <c r="DA19" s="103"/>
      <c r="DB19" s="103"/>
      <c r="DC19" s="103"/>
      <c r="DD19" s="103"/>
      <c r="DE19" s="103"/>
      <c r="DF19" s="103"/>
      <c r="DG19" s="103"/>
      <c r="DH19" s="103"/>
      <c r="DI19" s="103"/>
      <c r="DJ19" s="103"/>
      <c r="DK19" s="103"/>
      <c r="DL19" s="103"/>
      <c r="DM19" s="103"/>
      <c r="DN19" s="103"/>
      <c r="DO19" s="103"/>
      <c r="DP19" s="103"/>
      <c r="DQ19" s="103"/>
      <c r="DR19" s="103"/>
      <c r="DS19" s="103"/>
      <c r="DT19" s="103"/>
      <c r="DU19" s="103"/>
      <c r="DV19" s="103"/>
      <c r="DW19" s="103"/>
      <c r="DX19" s="103"/>
      <c r="DY19" s="103"/>
      <c r="DZ19" s="103"/>
      <c r="EA19" s="103"/>
      <c r="EB19" s="103"/>
      <c r="EC19" s="103"/>
      <c r="ED19" s="103"/>
      <c r="EE19" s="103"/>
      <c r="EF19" s="103"/>
      <c r="EG19" s="103"/>
      <c r="EH19" s="103"/>
      <c r="EI19" s="103"/>
      <c r="EJ19" s="103"/>
      <c r="EK19" s="103"/>
      <c r="EL19" s="103"/>
      <c r="EM19" s="103"/>
      <c r="EN19" s="103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3"/>
      <c r="FO19" s="103"/>
      <c r="FP19" s="103"/>
      <c r="FQ19" s="103"/>
      <c r="FR19" s="103"/>
      <c r="FS19" s="103"/>
      <c r="FT19" s="103"/>
      <c r="FU19" s="103"/>
      <c r="FV19" s="103"/>
      <c r="FW19" s="103"/>
      <c r="FX19" s="103"/>
      <c r="FY19" s="103"/>
      <c r="FZ19" s="103"/>
      <c r="GA19" s="103"/>
      <c r="GB19" s="103"/>
      <c r="GC19" s="103"/>
      <c r="GD19" s="103"/>
      <c r="GE19" s="103"/>
      <c r="GF19" s="103"/>
      <c r="GG19" s="103"/>
      <c r="GH19" s="103"/>
      <c r="GI19" s="103"/>
      <c r="GJ19" s="103"/>
      <c r="GK19" s="103"/>
      <c r="GL19" s="103"/>
      <c r="GM19" s="103"/>
      <c r="GN19" s="103"/>
      <c r="GO19" s="103"/>
      <c r="GP19" s="103"/>
      <c r="GQ19" s="103"/>
      <c r="GR19" s="103"/>
      <c r="GS19" s="103"/>
      <c r="GT19" s="103"/>
      <c r="GU19" s="103"/>
      <c r="GV19" s="103"/>
      <c r="GW19" s="103"/>
      <c r="GX19" s="103"/>
      <c r="GY19" s="103"/>
      <c r="GZ19" s="103"/>
      <c r="HA19" s="103"/>
      <c r="HB19" s="103"/>
      <c r="HC19" s="103"/>
      <c r="HD19" s="103"/>
      <c r="HE19" s="103"/>
      <c r="HF19" s="103"/>
      <c r="HG19" s="103"/>
      <c r="HH19" s="103"/>
      <c r="HI19" s="103"/>
      <c r="HJ19" s="103"/>
      <c r="HK19" s="103"/>
      <c r="HL19" s="103"/>
      <c r="HM19" s="103"/>
      <c r="HN19" s="103"/>
      <c r="HO19" s="103"/>
      <c r="HP19" s="103"/>
      <c r="HQ19" s="103"/>
      <c r="HR19" s="103"/>
      <c r="HS19" s="103"/>
      <c r="HT19" s="103"/>
      <c r="HU19" s="103"/>
      <c r="HV19" s="103"/>
      <c r="HW19" s="103"/>
      <c r="HX19" s="103"/>
      <c r="HY19" s="103"/>
      <c r="HZ19" s="103"/>
      <c r="IA19" s="103"/>
      <c r="IB19" s="103"/>
      <c r="IC19" s="103"/>
      <c r="ID19" s="103"/>
      <c r="IE19" s="103"/>
      <c r="IF19" s="103"/>
      <c r="IG19" s="103"/>
      <c r="IH19" s="103"/>
      <c r="II19" s="103"/>
      <c r="IJ19" s="103"/>
      <c r="IK19" s="103"/>
      <c r="IL19" s="103"/>
      <c r="IM19" s="103"/>
      <c r="IN19" s="103"/>
      <c r="IO19" s="103"/>
      <c r="IP19" s="103"/>
      <c r="IQ19" s="103"/>
      <c r="IR19" s="103"/>
      <c r="IS19" s="103"/>
      <c r="IT19" s="103"/>
      <c r="IU19" s="103"/>
      <c r="IV19" s="103"/>
    </row>
    <row r="20" spans="1:256" ht="35.1" customHeight="1">
      <c r="A20" s="671" t="s">
        <v>111</v>
      </c>
      <c r="B20" s="671"/>
      <c r="C20" s="671"/>
      <c r="D20" s="681" t="s">
        <v>55</v>
      </c>
      <c r="E20" s="663"/>
      <c r="F20" s="663"/>
      <c r="G20" s="663"/>
      <c r="H20" s="663"/>
      <c r="I20" s="663"/>
      <c r="J20" s="663"/>
      <c r="K20" s="664"/>
      <c r="L20" s="665" t="s">
        <v>112</v>
      </c>
      <c r="M20" s="666"/>
      <c r="N20" s="666"/>
      <c r="O20" s="667"/>
      <c r="P20" s="682" t="s">
        <v>841</v>
      </c>
      <c r="Q20" s="683"/>
      <c r="R20" s="683"/>
      <c r="S20" s="683"/>
      <c r="T20" s="683"/>
      <c r="U20" s="683"/>
      <c r="V20" s="684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103"/>
      <c r="EE20" s="103"/>
      <c r="EF20" s="103"/>
      <c r="EG20" s="103"/>
      <c r="EH20" s="103"/>
      <c r="EI20" s="103"/>
      <c r="EJ20" s="103"/>
      <c r="EK20" s="103"/>
      <c r="EL20" s="103"/>
      <c r="EM20" s="103"/>
      <c r="EN20" s="103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3"/>
      <c r="FO20" s="103"/>
      <c r="FP20" s="103"/>
      <c r="FQ20" s="103"/>
      <c r="FR20" s="103"/>
      <c r="FS20" s="103"/>
      <c r="FT20" s="103"/>
      <c r="FU20" s="103"/>
      <c r="FV20" s="103"/>
      <c r="FW20" s="103"/>
      <c r="FX20" s="103"/>
      <c r="FY20" s="103"/>
      <c r="FZ20" s="103"/>
      <c r="GA20" s="103"/>
      <c r="GB20" s="103"/>
      <c r="GC20" s="103"/>
      <c r="GD20" s="103"/>
      <c r="GE20" s="103"/>
      <c r="GF20" s="103"/>
      <c r="GG20" s="103"/>
      <c r="GH20" s="103"/>
      <c r="GI20" s="103"/>
      <c r="GJ20" s="103"/>
      <c r="GK20" s="103"/>
      <c r="GL20" s="103"/>
      <c r="GM20" s="103"/>
      <c r="GN20" s="103"/>
      <c r="GO20" s="103"/>
      <c r="GP20" s="103"/>
      <c r="GQ20" s="103"/>
      <c r="GR20" s="103"/>
      <c r="GS20" s="103"/>
      <c r="GT20" s="103"/>
      <c r="GU20" s="103"/>
      <c r="GV20" s="103"/>
      <c r="GW20" s="103"/>
      <c r="GX20" s="103"/>
      <c r="GY20" s="103"/>
      <c r="GZ20" s="103"/>
      <c r="HA20" s="103"/>
      <c r="HB20" s="103"/>
      <c r="HC20" s="103"/>
      <c r="HD20" s="103"/>
      <c r="HE20" s="103"/>
      <c r="HF20" s="103"/>
      <c r="HG20" s="103"/>
      <c r="HH20" s="103"/>
      <c r="HI20" s="103"/>
      <c r="HJ20" s="103"/>
      <c r="HK20" s="103"/>
      <c r="HL20" s="103"/>
      <c r="HM20" s="103"/>
      <c r="HN20" s="103"/>
      <c r="HO20" s="103"/>
      <c r="HP20" s="103"/>
      <c r="HQ20" s="103"/>
      <c r="HR20" s="103"/>
      <c r="HS20" s="103"/>
      <c r="HT20" s="103"/>
      <c r="HU20" s="103"/>
      <c r="HV20" s="103"/>
      <c r="HW20" s="103"/>
      <c r="HX20" s="103"/>
      <c r="HY20" s="103"/>
      <c r="HZ20" s="103"/>
      <c r="IA20" s="103"/>
      <c r="IB20" s="103"/>
      <c r="IC20" s="103"/>
      <c r="ID20" s="103"/>
      <c r="IE20" s="103"/>
      <c r="IF20" s="103"/>
      <c r="IG20" s="103"/>
      <c r="IH20" s="103"/>
      <c r="II20" s="103"/>
      <c r="IJ20" s="103"/>
      <c r="IK20" s="103"/>
      <c r="IL20" s="103"/>
      <c r="IM20" s="103"/>
      <c r="IN20" s="103"/>
      <c r="IO20" s="103"/>
      <c r="IP20" s="103"/>
      <c r="IQ20" s="103"/>
      <c r="IR20" s="103"/>
      <c r="IS20" s="103"/>
      <c r="IT20" s="103"/>
      <c r="IU20" s="103"/>
      <c r="IV20" s="103"/>
    </row>
    <row r="21" spans="1:256" ht="35.1" customHeight="1">
      <c r="A21" s="671" t="s">
        <v>113</v>
      </c>
      <c r="B21" s="671"/>
      <c r="C21" s="671"/>
      <c r="D21" s="685" t="s">
        <v>55</v>
      </c>
      <c r="E21" s="693"/>
      <c r="F21" s="693"/>
      <c r="G21" s="693"/>
      <c r="H21" s="693"/>
      <c r="I21" s="693"/>
      <c r="J21" s="693"/>
      <c r="K21" s="694"/>
      <c r="L21" s="665" t="s">
        <v>114</v>
      </c>
      <c r="M21" s="666"/>
      <c r="N21" s="666"/>
      <c r="O21" s="667"/>
      <c r="P21" s="686" t="s">
        <v>115</v>
      </c>
      <c r="Q21" s="666"/>
      <c r="R21" s="666"/>
      <c r="S21" s="666"/>
      <c r="T21" s="666"/>
      <c r="U21" s="666"/>
      <c r="V21" s="667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3"/>
      <c r="EJ21" s="103"/>
      <c r="EK21" s="103"/>
      <c r="EL21" s="103"/>
      <c r="EM21" s="103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3"/>
      <c r="FO21" s="103"/>
      <c r="FP21" s="103"/>
      <c r="FQ21" s="103"/>
      <c r="FR21" s="103"/>
      <c r="FS21" s="103"/>
      <c r="FT21" s="103"/>
      <c r="FU21" s="103"/>
      <c r="FV21" s="103"/>
      <c r="FW21" s="103"/>
      <c r="FX21" s="103"/>
      <c r="FY21" s="103"/>
      <c r="FZ21" s="10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3"/>
      <c r="HA21" s="103"/>
      <c r="HB21" s="103"/>
      <c r="HC21" s="103"/>
      <c r="HD21" s="103"/>
      <c r="HE21" s="103"/>
      <c r="HF21" s="103"/>
      <c r="HG21" s="103"/>
      <c r="HH21" s="103"/>
      <c r="HI21" s="103"/>
      <c r="HJ21" s="103"/>
      <c r="HK21" s="103"/>
      <c r="HL21" s="103"/>
      <c r="HM21" s="103"/>
      <c r="HN21" s="103"/>
      <c r="HO21" s="103"/>
      <c r="HP21" s="103"/>
      <c r="HQ21" s="103"/>
      <c r="HR21" s="103"/>
      <c r="HS21" s="103"/>
      <c r="HT21" s="103"/>
      <c r="HU21" s="103"/>
      <c r="HV21" s="103"/>
      <c r="HW21" s="103"/>
      <c r="HX21" s="103"/>
      <c r="HY21" s="103"/>
      <c r="HZ21" s="103"/>
      <c r="IA21" s="103"/>
      <c r="IB21" s="103"/>
      <c r="IC21" s="103"/>
      <c r="ID21" s="103"/>
      <c r="IE21" s="103"/>
      <c r="IF21" s="103"/>
      <c r="IG21" s="103"/>
      <c r="IH21" s="103"/>
      <c r="II21" s="103"/>
      <c r="IJ21" s="103"/>
      <c r="IK21" s="103"/>
      <c r="IL21" s="103"/>
      <c r="IM21" s="103"/>
      <c r="IN21" s="103"/>
      <c r="IO21" s="103"/>
      <c r="IP21" s="103"/>
      <c r="IQ21" s="103"/>
      <c r="IR21" s="103"/>
      <c r="IS21" s="103"/>
      <c r="IT21" s="103"/>
      <c r="IU21" s="103"/>
      <c r="IV21" s="103"/>
    </row>
    <row r="22" spans="1:256" ht="35.1" customHeight="1">
      <c r="A22" s="105" t="s">
        <v>116</v>
      </c>
      <c r="B22" s="105"/>
      <c r="C22" s="105"/>
      <c r="D22" s="690" t="s">
        <v>842</v>
      </c>
      <c r="E22" s="691"/>
      <c r="F22" s="662" t="s">
        <v>117</v>
      </c>
      <c r="G22" s="663"/>
      <c r="H22" s="664"/>
      <c r="I22" s="662" t="s">
        <v>840</v>
      </c>
      <c r="J22" s="663"/>
      <c r="K22" s="664"/>
      <c r="L22" s="665" t="s">
        <v>118</v>
      </c>
      <c r="M22" s="666"/>
      <c r="N22" s="666"/>
      <c r="O22" s="667"/>
      <c r="P22" s="106" t="s">
        <v>119</v>
      </c>
      <c r="Q22" s="107" t="s">
        <v>120</v>
      </c>
      <c r="R22" s="668" t="s">
        <v>115</v>
      </c>
      <c r="S22" s="669"/>
      <c r="T22" s="669"/>
      <c r="U22" s="669"/>
      <c r="V22" s="670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  <c r="DZ22" s="103"/>
      <c r="EA22" s="103"/>
      <c r="EB22" s="103"/>
      <c r="EC22" s="103"/>
      <c r="ED22" s="103"/>
      <c r="EE22" s="103"/>
      <c r="EF22" s="103"/>
      <c r="EG22" s="103"/>
      <c r="EH22" s="103"/>
      <c r="EI22" s="103"/>
      <c r="EJ22" s="103"/>
      <c r="EK22" s="103"/>
      <c r="EL22" s="103"/>
      <c r="EM22" s="103"/>
      <c r="EN22" s="103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3"/>
      <c r="FO22" s="103"/>
      <c r="FP22" s="103"/>
      <c r="FQ22" s="103"/>
      <c r="FR22" s="103"/>
      <c r="FS22" s="103"/>
      <c r="FT22" s="103"/>
      <c r="FU22" s="103"/>
      <c r="FV22" s="103"/>
      <c r="FW22" s="103"/>
      <c r="FX22" s="103"/>
      <c r="FY22" s="103"/>
      <c r="FZ22" s="103"/>
      <c r="GA22" s="103"/>
      <c r="GB22" s="103"/>
      <c r="GC22" s="103"/>
      <c r="GD22" s="103"/>
      <c r="GE22" s="103"/>
      <c r="GF22" s="103"/>
      <c r="GG22" s="103"/>
      <c r="GH22" s="103"/>
      <c r="GI22" s="103"/>
      <c r="GJ22" s="103"/>
      <c r="GK22" s="103"/>
      <c r="GL22" s="103"/>
      <c r="GM22" s="103"/>
      <c r="GN22" s="103"/>
      <c r="GO22" s="103"/>
      <c r="GP22" s="103"/>
      <c r="GQ22" s="103"/>
      <c r="GR22" s="103"/>
      <c r="GS22" s="103"/>
      <c r="GT22" s="103"/>
      <c r="GU22" s="103"/>
      <c r="GV22" s="103"/>
      <c r="GW22" s="103"/>
      <c r="GX22" s="103"/>
      <c r="GY22" s="103"/>
      <c r="GZ22" s="103"/>
      <c r="HA22" s="103"/>
      <c r="HB22" s="103"/>
      <c r="HC22" s="103"/>
      <c r="HD22" s="103"/>
      <c r="HE22" s="103"/>
      <c r="HF22" s="103"/>
      <c r="HG22" s="103"/>
      <c r="HH22" s="103"/>
      <c r="HI22" s="103"/>
      <c r="HJ22" s="103"/>
      <c r="HK22" s="103"/>
      <c r="HL22" s="103"/>
      <c r="HM22" s="103"/>
      <c r="HN22" s="103"/>
      <c r="HO22" s="103"/>
      <c r="HP22" s="103"/>
      <c r="HQ22" s="103"/>
      <c r="HR22" s="103"/>
      <c r="HS22" s="103"/>
      <c r="HT22" s="103"/>
      <c r="HU22" s="103"/>
      <c r="HV22" s="103"/>
      <c r="HW22" s="103"/>
      <c r="HX22" s="103"/>
      <c r="HY22" s="103"/>
      <c r="HZ22" s="103"/>
      <c r="IA22" s="103"/>
      <c r="IB22" s="103"/>
      <c r="IC22" s="103"/>
      <c r="ID22" s="103"/>
      <c r="IE22" s="103"/>
      <c r="IF22" s="103"/>
      <c r="IG22" s="103"/>
      <c r="IH22" s="103"/>
      <c r="II22" s="103"/>
      <c r="IJ22" s="103"/>
      <c r="IK22" s="103"/>
      <c r="IL22" s="103"/>
      <c r="IM22" s="103"/>
      <c r="IN22" s="103"/>
      <c r="IO22" s="103"/>
      <c r="IP22" s="103"/>
      <c r="IQ22" s="103"/>
      <c r="IR22" s="103"/>
      <c r="IS22" s="103"/>
      <c r="IT22" s="103"/>
      <c r="IU22" s="103"/>
      <c r="IV22" s="103"/>
    </row>
    <row r="23" spans="1:256" ht="35.1" customHeight="1">
      <c r="A23" s="671" t="s">
        <v>121</v>
      </c>
      <c r="B23" s="671"/>
      <c r="C23" s="672" t="s">
        <v>525</v>
      </c>
      <c r="D23" s="673"/>
      <c r="E23" s="673"/>
      <c r="F23" s="673"/>
      <c r="G23" s="673"/>
      <c r="H23" s="674"/>
      <c r="I23" s="675" t="s">
        <v>122</v>
      </c>
      <c r="J23" s="676"/>
      <c r="K23" s="677"/>
      <c r="L23" s="665" t="s">
        <v>123</v>
      </c>
      <c r="M23" s="666"/>
      <c r="N23" s="666"/>
      <c r="O23" s="667"/>
      <c r="P23" s="108"/>
      <c r="Q23" s="543" t="s">
        <v>124</v>
      </c>
      <c r="R23" s="678" t="s">
        <v>179</v>
      </c>
      <c r="S23" s="679"/>
      <c r="T23" s="679"/>
      <c r="U23" s="680"/>
      <c r="V23" s="109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  <c r="DU23" s="103"/>
      <c r="DV23" s="103"/>
      <c r="DW23" s="103"/>
      <c r="DX23" s="103"/>
      <c r="DY23" s="103"/>
      <c r="DZ23" s="103"/>
      <c r="EA23" s="103"/>
      <c r="EB23" s="103"/>
      <c r="EC23" s="103"/>
      <c r="ED23" s="103"/>
      <c r="EE23" s="103"/>
      <c r="EF23" s="103"/>
      <c r="EG23" s="103"/>
      <c r="EH23" s="103"/>
      <c r="EI23" s="103"/>
      <c r="EJ23" s="103"/>
      <c r="EK23" s="103"/>
      <c r="EL23" s="103"/>
      <c r="EM23" s="103"/>
      <c r="EN23" s="103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3"/>
      <c r="FO23" s="103"/>
      <c r="FP23" s="103"/>
      <c r="FQ23" s="103"/>
      <c r="FR23" s="103"/>
      <c r="FS23" s="103"/>
      <c r="FT23" s="103"/>
      <c r="FU23" s="103"/>
      <c r="FV23" s="103"/>
      <c r="FW23" s="103"/>
      <c r="FX23" s="103"/>
      <c r="FY23" s="103"/>
      <c r="FZ23" s="103"/>
      <c r="GA23" s="103"/>
      <c r="GB23" s="103"/>
      <c r="GC23" s="103"/>
      <c r="GD23" s="103"/>
      <c r="GE23" s="103"/>
      <c r="GF23" s="103"/>
      <c r="GG23" s="103"/>
      <c r="GH23" s="103"/>
      <c r="GI23" s="103"/>
      <c r="GJ23" s="103"/>
      <c r="GK23" s="103"/>
      <c r="GL23" s="103"/>
      <c r="GM23" s="103"/>
      <c r="GN23" s="103"/>
      <c r="GO23" s="103"/>
      <c r="GP23" s="103"/>
      <c r="GQ23" s="103"/>
      <c r="GR23" s="103"/>
      <c r="GS23" s="103"/>
      <c r="GT23" s="103"/>
      <c r="GU23" s="103"/>
      <c r="GV23" s="103"/>
      <c r="GW23" s="103"/>
      <c r="GX23" s="103"/>
      <c r="GY23" s="103"/>
      <c r="GZ23" s="103"/>
      <c r="HA23" s="103"/>
      <c r="HB23" s="103"/>
      <c r="HC23" s="103"/>
      <c r="HD23" s="103"/>
      <c r="HE23" s="103"/>
      <c r="HF23" s="103"/>
      <c r="HG23" s="103"/>
      <c r="HH23" s="103"/>
      <c r="HI23" s="103"/>
      <c r="HJ23" s="103"/>
      <c r="HK23" s="103"/>
      <c r="HL23" s="103"/>
      <c r="HM23" s="103"/>
      <c r="HN23" s="103"/>
      <c r="HO23" s="103"/>
      <c r="HP23" s="103"/>
      <c r="HQ23" s="103"/>
      <c r="HR23" s="103"/>
      <c r="HS23" s="103"/>
      <c r="HT23" s="103"/>
      <c r="HU23" s="103"/>
      <c r="HV23" s="103"/>
      <c r="HW23" s="103"/>
      <c r="HX23" s="103"/>
      <c r="HY23" s="103"/>
      <c r="HZ23" s="103"/>
      <c r="IA23" s="103"/>
      <c r="IB23" s="103"/>
      <c r="IC23" s="103"/>
      <c r="ID23" s="103"/>
      <c r="IE23" s="103"/>
      <c r="IF23" s="103"/>
      <c r="IG23" s="103"/>
      <c r="IH23" s="103"/>
      <c r="II23" s="103"/>
      <c r="IJ23" s="103"/>
      <c r="IK23" s="103"/>
      <c r="IL23" s="103"/>
      <c r="IM23" s="103"/>
      <c r="IN23" s="103"/>
      <c r="IO23" s="103"/>
      <c r="IP23" s="103"/>
      <c r="IQ23" s="103"/>
      <c r="IR23" s="103"/>
      <c r="IS23" s="103"/>
      <c r="IT23" s="103"/>
      <c r="IU23" s="103"/>
      <c r="IV23" s="103"/>
    </row>
    <row r="24" spans="1:256" ht="195" customHeight="1">
      <c r="A24" s="753" t="s">
        <v>126</v>
      </c>
      <c r="B24" s="734" t="s">
        <v>127</v>
      </c>
      <c r="C24" s="734" t="s">
        <v>9</v>
      </c>
      <c r="D24" s="734" t="s">
        <v>128</v>
      </c>
      <c r="E24" s="711" t="s">
        <v>129</v>
      </c>
      <c r="F24" s="745" t="s">
        <v>130</v>
      </c>
      <c r="G24" s="711" t="s">
        <v>131</v>
      </c>
      <c r="H24" s="762" t="s">
        <v>132</v>
      </c>
      <c r="I24" s="742" t="s">
        <v>133</v>
      </c>
      <c r="J24" s="734" t="s">
        <v>134</v>
      </c>
      <c r="K24" s="737" t="s">
        <v>135</v>
      </c>
      <c r="L24" s="734" t="s">
        <v>136</v>
      </c>
      <c r="M24" s="734" t="s">
        <v>137</v>
      </c>
      <c r="N24" s="734" t="s">
        <v>139</v>
      </c>
      <c r="O24" s="737" t="s">
        <v>140</v>
      </c>
      <c r="P24" s="711" t="s">
        <v>141</v>
      </c>
      <c r="Q24" s="711" t="s">
        <v>142</v>
      </c>
      <c r="R24" s="711" t="s">
        <v>130</v>
      </c>
      <c r="S24" s="711" t="s">
        <v>134</v>
      </c>
      <c r="T24" s="711" t="s">
        <v>136</v>
      </c>
      <c r="U24" s="711" t="s">
        <v>139</v>
      </c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0"/>
      <c r="CP24" s="110"/>
      <c r="CQ24" s="110"/>
      <c r="CR24" s="110"/>
      <c r="CS24" s="110"/>
      <c r="CT24" s="110"/>
      <c r="CU24" s="110"/>
      <c r="CV24" s="110"/>
      <c r="CW24" s="110"/>
      <c r="CX24" s="110"/>
      <c r="CY24" s="110"/>
      <c r="CZ24" s="110"/>
      <c r="DA24" s="110"/>
      <c r="DB24" s="110"/>
      <c r="DC24" s="110"/>
      <c r="DD24" s="110"/>
      <c r="DE24" s="110"/>
      <c r="DF24" s="110"/>
      <c r="DG24" s="110"/>
      <c r="DH24" s="110"/>
      <c r="DI24" s="110"/>
      <c r="DJ24" s="110"/>
      <c r="DK24" s="110"/>
      <c r="DL24" s="110"/>
      <c r="DM24" s="110"/>
      <c r="DN24" s="110"/>
      <c r="DO24" s="110"/>
      <c r="DP24" s="110"/>
      <c r="DQ24" s="110"/>
      <c r="DR24" s="110"/>
      <c r="DS24" s="110"/>
      <c r="DT24" s="110"/>
      <c r="DU24" s="110"/>
      <c r="DV24" s="110"/>
      <c r="DW24" s="110"/>
      <c r="DX24" s="110"/>
      <c r="DY24" s="110"/>
      <c r="DZ24" s="110"/>
      <c r="EA24" s="110"/>
      <c r="EB24" s="110"/>
      <c r="EC24" s="110"/>
      <c r="ED24" s="110"/>
      <c r="EE24" s="110"/>
      <c r="EF24" s="110"/>
      <c r="EG24" s="110"/>
      <c r="EH24" s="110"/>
      <c r="EI24" s="110"/>
      <c r="EJ24" s="110"/>
      <c r="EK24" s="110"/>
      <c r="EL24" s="110"/>
      <c r="EM24" s="110"/>
      <c r="EN24" s="110"/>
      <c r="EO24" s="110"/>
      <c r="EP24" s="110"/>
      <c r="EQ24" s="110"/>
      <c r="ER24" s="110"/>
      <c r="ES24" s="110"/>
      <c r="ET24" s="110"/>
      <c r="EU24" s="110"/>
      <c r="EV24" s="110"/>
      <c r="EW24" s="110"/>
      <c r="EX24" s="110"/>
      <c r="EY24" s="110"/>
      <c r="EZ24" s="110"/>
      <c r="FA24" s="110"/>
      <c r="FB24" s="110"/>
      <c r="FC24" s="110"/>
      <c r="FD24" s="110"/>
      <c r="FE24" s="110"/>
      <c r="FF24" s="110"/>
      <c r="FG24" s="110"/>
      <c r="FH24" s="110"/>
      <c r="FI24" s="110"/>
      <c r="FJ24" s="110"/>
      <c r="FK24" s="110"/>
      <c r="FL24" s="110"/>
      <c r="FM24" s="110"/>
      <c r="FN24" s="110"/>
      <c r="FO24" s="110"/>
      <c r="FP24" s="110"/>
      <c r="FQ24" s="110"/>
      <c r="FR24" s="110"/>
      <c r="FS24" s="110"/>
      <c r="FT24" s="110"/>
      <c r="FU24" s="110"/>
      <c r="FV24" s="110"/>
      <c r="FW24" s="110"/>
      <c r="FX24" s="110"/>
      <c r="FY24" s="110"/>
      <c r="FZ24" s="110"/>
      <c r="GA24" s="110"/>
      <c r="GB24" s="110"/>
      <c r="GC24" s="110"/>
      <c r="GD24" s="110"/>
      <c r="GE24" s="110"/>
      <c r="GF24" s="110"/>
      <c r="GG24" s="110"/>
      <c r="GH24" s="110"/>
      <c r="GI24" s="110"/>
      <c r="GJ24" s="110"/>
      <c r="GK24" s="110"/>
      <c r="GL24" s="110"/>
      <c r="GM24" s="110"/>
      <c r="GN24" s="110"/>
      <c r="GO24" s="110"/>
      <c r="GP24" s="110"/>
      <c r="GQ24" s="110"/>
      <c r="GR24" s="110"/>
      <c r="GS24" s="110"/>
      <c r="GT24" s="110"/>
      <c r="GU24" s="110"/>
      <c r="GV24" s="110"/>
      <c r="GW24" s="110"/>
      <c r="GX24" s="110"/>
      <c r="GY24" s="110"/>
      <c r="GZ24" s="110"/>
      <c r="HA24" s="110"/>
      <c r="HB24" s="110"/>
      <c r="HC24" s="110"/>
      <c r="HD24" s="110"/>
      <c r="HE24" s="110"/>
      <c r="HF24" s="110"/>
      <c r="HG24" s="110"/>
      <c r="HH24" s="110"/>
      <c r="HI24" s="110"/>
      <c r="HJ24" s="110"/>
      <c r="HK24" s="110"/>
      <c r="HL24" s="110"/>
      <c r="HM24" s="110"/>
      <c r="HN24" s="110"/>
      <c r="HO24" s="110"/>
      <c r="HP24" s="110"/>
      <c r="HQ24" s="110"/>
      <c r="HR24" s="110"/>
      <c r="HS24" s="110"/>
      <c r="HT24" s="110"/>
      <c r="HU24" s="110"/>
      <c r="HV24" s="110"/>
      <c r="HW24" s="110"/>
      <c r="HX24" s="110"/>
      <c r="HY24" s="110"/>
      <c r="HZ24" s="110"/>
      <c r="IA24" s="110"/>
      <c r="IB24" s="110"/>
      <c r="IC24" s="110"/>
      <c r="ID24" s="110"/>
      <c r="IE24" s="110"/>
      <c r="IF24" s="110"/>
      <c r="IG24" s="110"/>
      <c r="IH24" s="110"/>
      <c r="II24" s="110"/>
      <c r="IJ24" s="110"/>
      <c r="IK24" s="110"/>
      <c r="IL24" s="110"/>
      <c r="IM24" s="110"/>
      <c r="IN24" s="110"/>
      <c r="IO24" s="110"/>
      <c r="IP24" s="110"/>
      <c r="IQ24" s="110"/>
      <c r="IR24" s="110"/>
      <c r="IS24" s="110"/>
      <c r="IT24" s="110"/>
    </row>
    <row r="25" spans="1:256" ht="219" hidden="1" customHeight="1">
      <c r="A25" s="754"/>
      <c r="B25" s="735"/>
      <c r="C25" s="735"/>
      <c r="D25" s="773"/>
      <c r="E25" s="714"/>
      <c r="F25" s="746"/>
      <c r="G25" s="714"/>
      <c r="H25" s="763"/>
      <c r="I25" s="765"/>
      <c r="J25" s="735"/>
      <c r="K25" s="738"/>
      <c r="L25" s="771"/>
      <c r="M25" s="735"/>
      <c r="N25" s="735"/>
      <c r="O25" s="738"/>
      <c r="P25" s="714"/>
      <c r="Q25" s="714"/>
      <c r="R25" s="714"/>
      <c r="S25" s="714"/>
      <c r="T25" s="714"/>
      <c r="U25" s="714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10"/>
      <c r="CT25" s="110"/>
      <c r="CU25" s="110"/>
      <c r="CV25" s="110"/>
      <c r="CW25" s="110"/>
      <c r="CX25" s="110"/>
      <c r="CY25" s="110"/>
      <c r="CZ25" s="110"/>
      <c r="DA25" s="110"/>
      <c r="DB25" s="110"/>
      <c r="DC25" s="110"/>
      <c r="DD25" s="110"/>
      <c r="DE25" s="110"/>
      <c r="DF25" s="110"/>
      <c r="DG25" s="110"/>
      <c r="DH25" s="110"/>
      <c r="DI25" s="110"/>
      <c r="DJ25" s="110"/>
      <c r="DK25" s="110"/>
      <c r="DL25" s="110"/>
      <c r="DM25" s="110"/>
      <c r="DN25" s="110"/>
      <c r="DO25" s="110"/>
      <c r="DP25" s="110"/>
      <c r="DQ25" s="110"/>
      <c r="DR25" s="110"/>
      <c r="DS25" s="110"/>
      <c r="DT25" s="110"/>
      <c r="DU25" s="110"/>
      <c r="DV25" s="110"/>
      <c r="DW25" s="110"/>
      <c r="DX25" s="110"/>
      <c r="DY25" s="110"/>
      <c r="DZ25" s="110"/>
      <c r="EA25" s="110"/>
      <c r="EB25" s="110"/>
      <c r="EC25" s="110"/>
      <c r="ED25" s="110"/>
      <c r="EE25" s="110"/>
      <c r="EF25" s="110"/>
      <c r="EG25" s="110"/>
      <c r="EH25" s="110"/>
      <c r="EI25" s="110"/>
      <c r="EJ25" s="110"/>
      <c r="EK25" s="110"/>
      <c r="EL25" s="110"/>
      <c r="EM25" s="110"/>
      <c r="EN25" s="110"/>
      <c r="EO25" s="110"/>
      <c r="EP25" s="110"/>
      <c r="EQ25" s="110"/>
      <c r="ER25" s="110"/>
      <c r="ES25" s="110"/>
      <c r="ET25" s="110"/>
      <c r="EU25" s="110"/>
      <c r="EV25" s="110"/>
      <c r="EW25" s="110"/>
      <c r="EX25" s="110"/>
      <c r="EY25" s="110"/>
      <c r="EZ25" s="110"/>
      <c r="FA25" s="110"/>
      <c r="FB25" s="110"/>
      <c r="FC25" s="110"/>
      <c r="FD25" s="110"/>
      <c r="FE25" s="110"/>
      <c r="FF25" s="110"/>
      <c r="FG25" s="110"/>
      <c r="FH25" s="110"/>
      <c r="FI25" s="110"/>
      <c r="FJ25" s="110"/>
      <c r="FK25" s="110"/>
      <c r="FL25" s="110"/>
      <c r="FM25" s="110"/>
      <c r="FN25" s="110"/>
      <c r="FO25" s="110"/>
      <c r="FP25" s="110"/>
      <c r="FQ25" s="110"/>
      <c r="FR25" s="110"/>
      <c r="FS25" s="110"/>
      <c r="FT25" s="110"/>
      <c r="FU25" s="110"/>
      <c r="FV25" s="110"/>
      <c r="FW25" s="110"/>
      <c r="FX25" s="110"/>
      <c r="FY25" s="110"/>
      <c r="FZ25" s="110"/>
      <c r="GA25" s="110"/>
      <c r="GB25" s="110"/>
      <c r="GC25" s="110"/>
      <c r="GD25" s="110"/>
      <c r="GE25" s="110"/>
      <c r="GF25" s="110"/>
      <c r="GG25" s="110"/>
      <c r="GH25" s="110"/>
      <c r="GI25" s="110"/>
      <c r="GJ25" s="110"/>
      <c r="GK25" s="110"/>
      <c r="GL25" s="110"/>
      <c r="GM25" s="110"/>
      <c r="GN25" s="110"/>
      <c r="GO25" s="110"/>
      <c r="GP25" s="110"/>
      <c r="GQ25" s="110"/>
      <c r="GR25" s="110"/>
      <c r="GS25" s="110"/>
      <c r="GT25" s="110"/>
      <c r="GU25" s="110"/>
      <c r="GV25" s="110"/>
      <c r="GW25" s="110"/>
      <c r="GX25" s="110"/>
      <c r="GY25" s="110"/>
      <c r="GZ25" s="110"/>
      <c r="HA25" s="110"/>
      <c r="HB25" s="110"/>
      <c r="HC25" s="110"/>
      <c r="HD25" s="110"/>
      <c r="HE25" s="110"/>
      <c r="HF25" s="110"/>
      <c r="HG25" s="110"/>
      <c r="HH25" s="110"/>
      <c r="HI25" s="110"/>
      <c r="HJ25" s="110"/>
      <c r="HK25" s="110"/>
      <c r="HL25" s="110"/>
      <c r="HM25" s="110"/>
      <c r="HN25" s="110"/>
      <c r="HO25" s="110"/>
      <c r="HP25" s="110"/>
      <c r="HQ25" s="110"/>
      <c r="HR25" s="110"/>
      <c r="HS25" s="110"/>
      <c r="HT25" s="110"/>
      <c r="HU25" s="110"/>
      <c r="HV25" s="110"/>
      <c r="HW25" s="110"/>
      <c r="HX25" s="110"/>
      <c r="HY25" s="110"/>
      <c r="HZ25" s="110"/>
      <c r="IA25" s="110"/>
      <c r="IB25" s="110"/>
      <c r="IC25" s="110"/>
      <c r="ID25" s="110"/>
      <c r="IE25" s="110"/>
      <c r="IF25" s="110"/>
      <c r="IG25" s="110"/>
      <c r="IH25" s="110"/>
      <c r="II25" s="110"/>
      <c r="IJ25" s="110"/>
      <c r="IK25" s="110"/>
      <c r="IL25" s="110"/>
      <c r="IM25" s="110"/>
      <c r="IN25" s="110"/>
      <c r="IO25" s="110"/>
      <c r="IP25" s="110"/>
      <c r="IQ25" s="110"/>
      <c r="IR25" s="110"/>
      <c r="IS25" s="110"/>
      <c r="IT25" s="110"/>
    </row>
    <row r="26" spans="1:256" ht="90" hidden="1" customHeight="1">
      <c r="A26" s="754"/>
      <c r="B26" s="735"/>
      <c r="C26" s="735"/>
      <c r="D26" s="773"/>
      <c r="E26" s="714"/>
      <c r="F26" s="746"/>
      <c r="G26" s="714"/>
      <c r="H26" s="763"/>
      <c r="I26" s="765"/>
      <c r="J26" s="735"/>
      <c r="K26" s="738"/>
      <c r="L26" s="771"/>
      <c r="M26" s="735"/>
      <c r="N26" s="735"/>
      <c r="O26" s="738"/>
      <c r="P26" s="714"/>
      <c r="Q26" s="714"/>
      <c r="R26" s="714"/>
      <c r="S26" s="714"/>
      <c r="T26" s="714"/>
      <c r="U26" s="714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0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0"/>
      <c r="DA26" s="110"/>
      <c r="DB26" s="110"/>
      <c r="DC26" s="110"/>
      <c r="DD26" s="110"/>
      <c r="DE26" s="110"/>
      <c r="DF26" s="110"/>
      <c r="DG26" s="110"/>
      <c r="DH26" s="110"/>
      <c r="DI26" s="110"/>
      <c r="DJ26" s="110"/>
      <c r="DK26" s="110"/>
      <c r="DL26" s="110"/>
      <c r="DM26" s="110"/>
      <c r="DN26" s="110"/>
      <c r="DO26" s="110"/>
      <c r="DP26" s="110"/>
      <c r="DQ26" s="110"/>
      <c r="DR26" s="110"/>
      <c r="DS26" s="110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110"/>
      <c r="EY26" s="110"/>
      <c r="EZ26" s="110"/>
      <c r="FA26" s="110"/>
      <c r="FB26" s="110"/>
      <c r="FC26" s="110"/>
      <c r="FD26" s="110"/>
      <c r="FE26" s="110"/>
      <c r="FF26" s="110"/>
      <c r="FG26" s="110"/>
      <c r="FH26" s="110"/>
      <c r="FI26" s="110"/>
      <c r="FJ26" s="110"/>
      <c r="FK26" s="110"/>
      <c r="FL26" s="110"/>
      <c r="FM26" s="110"/>
      <c r="FN26" s="110"/>
      <c r="FO26" s="110"/>
      <c r="FP26" s="110"/>
      <c r="FQ26" s="110"/>
      <c r="FR26" s="110"/>
      <c r="FS26" s="110"/>
      <c r="FT26" s="110"/>
      <c r="FU26" s="110"/>
      <c r="FV26" s="110"/>
      <c r="FW26" s="110"/>
      <c r="FX26" s="110"/>
      <c r="FY26" s="110"/>
      <c r="FZ26" s="110"/>
      <c r="GA26" s="110"/>
      <c r="GB26" s="110"/>
      <c r="GC26" s="110"/>
      <c r="GD26" s="110"/>
      <c r="GE26" s="110"/>
      <c r="GF26" s="110"/>
      <c r="GG26" s="110"/>
      <c r="GH26" s="110"/>
      <c r="GI26" s="110"/>
      <c r="GJ26" s="110"/>
      <c r="GK26" s="110"/>
      <c r="GL26" s="110"/>
      <c r="GM26" s="110"/>
      <c r="GN26" s="110"/>
      <c r="GO26" s="110"/>
      <c r="GP26" s="110"/>
      <c r="GQ26" s="110"/>
      <c r="GR26" s="110"/>
      <c r="GS26" s="110"/>
      <c r="GT26" s="110"/>
      <c r="GU26" s="110"/>
      <c r="GV26" s="110"/>
      <c r="GW26" s="110"/>
      <c r="GX26" s="110"/>
      <c r="GY26" s="110"/>
      <c r="GZ26" s="110"/>
      <c r="HA26" s="110"/>
      <c r="HB26" s="110"/>
      <c r="HC26" s="110"/>
      <c r="HD26" s="110"/>
      <c r="HE26" s="110"/>
      <c r="HF26" s="110"/>
      <c r="HG26" s="110"/>
      <c r="HH26" s="110"/>
      <c r="HI26" s="110"/>
      <c r="HJ26" s="110"/>
      <c r="HK26" s="110"/>
      <c r="HL26" s="110"/>
      <c r="HM26" s="110"/>
      <c r="HN26" s="110"/>
      <c r="HO26" s="110"/>
      <c r="HP26" s="110"/>
      <c r="HQ26" s="110"/>
      <c r="HR26" s="110"/>
      <c r="HS26" s="110"/>
      <c r="HT26" s="110"/>
      <c r="HU26" s="110"/>
      <c r="HV26" s="110"/>
      <c r="HW26" s="110"/>
      <c r="HX26" s="110"/>
      <c r="HY26" s="110"/>
      <c r="HZ26" s="110"/>
      <c r="IA26" s="110"/>
      <c r="IB26" s="110"/>
      <c r="IC26" s="110"/>
      <c r="ID26" s="110"/>
      <c r="IE26" s="110"/>
      <c r="IF26" s="110"/>
      <c r="IG26" s="110"/>
      <c r="IH26" s="110"/>
      <c r="II26" s="110"/>
      <c r="IJ26" s="110"/>
      <c r="IK26" s="110"/>
      <c r="IL26" s="110"/>
      <c r="IM26" s="110"/>
      <c r="IN26" s="110"/>
      <c r="IO26" s="110"/>
      <c r="IP26" s="110"/>
      <c r="IQ26" s="110"/>
      <c r="IR26" s="110"/>
      <c r="IS26" s="110"/>
      <c r="IT26" s="110"/>
    </row>
    <row r="27" spans="1:256" ht="219" hidden="1" customHeight="1">
      <c r="A27" s="755"/>
      <c r="B27" s="736"/>
      <c r="C27" s="736"/>
      <c r="D27" s="774"/>
      <c r="E27" s="717"/>
      <c r="F27" s="747"/>
      <c r="G27" s="717"/>
      <c r="H27" s="764"/>
      <c r="I27" s="766"/>
      <c r="J27" s="736"/>
      <c r="K27" s="739"/>
      <c r="L27" s="772"/>
      <c r="M27" s="736"/>
      <c r="N27" s="736"/>
      <c r="O27" s="739"/>
      <c r="P27" s="717"/>
      <c r="Q27" s="717"/>
      <c r="R27" s="717"/>
      <c r="S27" s="717"/>
      <c r="T27" s="717"/>
      <c r="U27" s="717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110"/>
      <c r="DK27" s="110"/>
      <c r="DL27" s="110"/>
      <c r="DM27" s="110"/>
      <c r="DN27" s="110"/>
      <c r="DO27" s="110"/>
      <c r="DP27" s="110"/>
      <c r="DQ27" s="110"/>
      <c r="DR27" s="110"/>
      <c r="DS27" s="110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10"/>
      <c r="EG27" s="110"/>
      <c r="EH27" s="110"/>
      <c r="EI27" s="110"/>
      <c r="EJ27" s="110"/>
      <c r="EK27" s="110"/>
      <c r="EL27" s="110"/>
      <c r="EM27" s="110"/>
      <c r="EN27" s="110"/>
      <c r="EO27" s="110"/>
      <c r="EP27" s="110"/>
      <c r="EQ27" s="110"/>
      <c r="ER27" s="110"/>
      <c r="ES27" s="110"/>
      <c r="ET27" s="110"/>
      <c r="EU27" s="110"/>
      <c r="EV27" s="110"/>
      <c r="EW27" s="110"/>
      <c r="EX27" s="110"/>
      <c r="EY27" s="110"/>
      <c r="EZ27" s="110"/>
      <c r="FA27" s="110"/>
      <c r="FB27" s="110"/>
      <c r="FC27" s="110"/>
      <c r="FD27" s="110"/>
      <c r="FE27" s="110"/>
      <c r="FF27" s="110"/>
      <c r="FG27" s="110"/>
      <c r="FH27" s="110"/>
      <c r="FI27" s="110"/>
      <c r="FJ27" s="110"/>
      <c r="FK27" s="110"/>
      <c r="FL27" s="110"/>
      <c r="FM27" s="110"/>
      <c r="FN27" s="110"/>
      <c r="FO27" s="110"/>
      <c r="FP27" s="110"/>
      <c r="FQ27" s="110"/>
      <c r="FR27" s="110"/>
      <c r="FS27" s="110"/>
      <c r="FT27" s="110"/>
      <c r="FU27" s="110"/>
      <c r="FV27" s="110"/>
      <c r="FW27" s="110"/>
      <c r="FX27" s="110"/>
      <c r="FY27" s="110"/>
      <c r="FZ27" s="110"/>
      <c r="GA27" s="110"/>
      <c r="GB27" s="110"/>
      <c r="GC27" s="110"/>
      <c r="GD27" s="110"/>
      <c r="GE27" s="110"/>
      <c r="GF27" s="110"/>
      <c r="GG27" s="110"/>
      <c r="GH27" s="110"/>
      <c r="GI27" s="110"/>
      <c r="GJ27" s="110"/>
      <c r="GK27" s="110"/>
      <c r="GL27" s="110"/>
      <c r="GM27" s="110"/>
      <c r="GN27" s="110"/>
      <c r="GO27" s="110"/>
      <c r="GP27" s="110"/>
      <c r="GQ27" s="110"/>
      <c r="GR27" s="110"/>
      <c r="GS27" s="110"/>
      <c r="GT27" s="110"/>
      <c r="GU27" s="110"/>
      <c r="GV27" s="110"/>
      <c r="GW27" s="110"/>
      <c r="GX27" s="110"/>
      <c r="GY27" s="110"/>
      <c r="GZ27" s="110"/>
      <c r="HA27" s="110"/>
      <c r="HB27" s="110"/>
      <c r="HC27" s="110"/>
      <c r="HD27" s="110"/>
      <c r="HE27" s="110"/>
      <c r="HF27" s="110"/>
      <c r="HG27" s="110"/>
      <c r="HH27" s="110"/>
      <c r="HI27" s="110"/>
      <c r="HJ27" s="110"/>
      <c r="HK27" s="110"/>
      <c r="HL27" s="110"/>
      <c r="HM27" s="110"/>
      <c r="HN27" s="110"/>
      <c r="HO27" s="110"/>
      <c r="HP27" s="110"/>
      <c r="HQ27" s="110"/>
      <c r="HR27" s="110"/>
      <c r="HS27" s="110"/>
      <c r="HT27" s="110"/>
      <c r="HU27" s="110"/>
      <c r="HV27" s="110"/>
      <c r="HW27" s="110"/>
      <c r="HX27" s="110"/>
      <c r="HY27" s="110"/>
      <c r="HZ27" s="110"/>
      <c r="IA27" s="110"/>
      <c r="IB27" s="110"/>
      <c r="IC27" s="110"/>
      <c r="ID27" s="110"/>
      <c r="IE27" s="110"/>
      <c r="IF27" s="110"/>
      <c r="IG27" s="110"/>
      <c r="IH27" s="110"/>
      <c r="II27" s="110"/>
      <c r="IJ27" s="110"/>
      <c r="IK27" s="110"/>
      <c r="IL27" s="110"/>
      <c r="IM27" s="110"/>
      <c r="IN27" s="110"/>
      <c r="IO27" s="110"/>
      <c r="IP27" s="110"/>
      <c r="IQ27" s="110"/>
      <c r="IR27" s="110"/>
      <c r="IS27" s="110"/>
      <c r="IT27" s="110"/>
    </row>
    <row r="28" spans="1:256" ht="276" customHeight="1">
      <c r="A28" s="789" t="s">
        <v>150</v>
      </c>
      <c r="B28" s="791" t="s">
        <v>851</v>
      </c>
      <c r="C28" s="791" t="s">
        <v>835</v>
      </c>
      <c r="D28" s="209" t="s">
        <v>787</v>
      </c>
      <c r="E28" s="587" t="s">
        <v>788</v>
      </c>
      <c r="F28" s="587">
        <v>8</v>
      </c>
      <c r="G28" s="587"/>
      <c r="H28" s="526" t="s">
        <v>789</v>
      </c>
      <c r="I28" s="527" t="s">
        <v>836</v>
      </c>
      <c r="J28" s="587">
        <v>3</v>
      </c>
      <c r="K28" s="209"/>
      <c r="L28" s="209">
        <v>9</v>
      </c>
      <c r="M28" s="210">
        <f>(F28*100+J28*10+L28)</f>
        <v>839</v>
      </c>
      <c r="N28" s="213">
        <f>F28*J28*L28</f>
        <v>216</v>
      </c>
      <c r="O28" s="793" t="s">
        <v>837</v>
      </c>
      <c r="P28" s="794"/>
      <c r="Q28" s="795"/>
      <c r="R28" s="209">
        <v>8</v>
      </c>
      <c r="S28" s="209">
        <v>2</v>
      </c>
      <c r="T28" s="209">
        <v>9</v>
      </c>
      <c r="U28" s="209">
        <f>R28*S28*T28</f>
        <v>144</v>
      </c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0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0"/>
      <c r="DA28" s="110"/>
      <c r="DB28" s="110"/>
      <c r="DC28" s="110"/>
      <c r="DD28" s="110"/>
      <c r="DE28" s="110"/>
      <c r="DF28" s="110"/>
      <c r="DG28" s="110"/>
      <c r="DH28" s="110"/>
      <c r="DI28" s="110"/>
      <c r="DJ28" s="110"/>
      <c r="DK28" s="110"/>
      <c r="DL28" s="110"/>
      <c r="DM28" s="110"/>
      <c r="DN28" s="110"/>
      <c r="DO28" s="110"/>
      <c r="DP28" s="110"/>
      <c r="DQ28" s="110"/>
      <c r="DR28" s="110"/>
      <c r="DS28" s="110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10"/>
      <c r="EG28" s="110"/>
      <c r="EH28" s="110"/>
      <c r="EI28" s="110"/>
      <c r="EJ28" s="110"/>
      <c r="EK28" s="110"/>
      <c r="EL28" s="110"/>
      <c r="EM28" s="110"/>
      <c r="EN28" s="110"/>
      <c r="EO28" s="110"/>
      <c r="EP28" s="110"/>
      <c r="EQ28" s="110"/>
      <c r="ER28" s="110"/>
      <c r="ES28" s="110"/>
      <c r="ET28" s="110"/>
      <c r="EU28" s="110"/>
      <c r="EV28" s="110"/>
      <c r="EW28" s="110"/>
      <c r="EX28" s="110"/>
      <c r="EY28" s="110"/>
      <c r="EZ28" s="110"/>
      <c r="FA28" s="110"/>
      <c r="FB28" s="110"/>
      <c r="FC28" s="110"/>
      <c r="FD28" s="110"/>
      <c r="FE28" s="110"/>
      <c r="FF28" s="110"/>
      <c r="FG28" s="110"/>
      <c r="FH28" s="110"/>
      <c r="FI28" s="110"/>
      <c r="FJ28" s="110"/>
      <c r="FK28" s="110"/>
      <c r="FL28" s="110"/>
      <c r="FM28" s="110"/>
      <c r="FN28" s="110"/>
      <c r="FO28" s="110"/>
      <c r="FP28" s="110"/>
      <c r="FQ28" s="110"/>
      <c r="FR28" s="110"/>
      <c r="FS28" s="110"/>
      <c r="FT28" s="110"/>
      <c r="FU28" s="110"/>
      <c r="FV28" s="110"/>
      <c r="FW28" s="110"/>
      <c r="FX28" s="110"/>
      <c r="FY28" s="110"/>
      <c r="FZ28" s="110"/>
      <c r="GA28" s="110"/>
      <c r="GB28" s="110"/>
      <c r="GC28" s="110"/>
      <c r="GD28" s="110"/>
      <c r="GE28" s="110"/>
      <c r="GF28" s="110"/>
      <c r="GG28" s="110"/>
      <c r="GH28" s="110"/>
      <c r="GI28" s="110"/>
      <c r="GJ28" s="110"/>
      <c r="GK28" s="110"/>
      <c r="GL28" s="110"/>
      <c r="GM28" s="110"/>
      <c r="GN28" s="110"/>
      <c r="GO28" s="110"/>
      <c r="GP28" s="110"/>
      <c r="GQ28" s="110"/>
      <c r="GR28" s="110"/>
      <c r="GS28" s="110"/>
      <c r="GT28" s="110"/>
      <c r="GU28" s="110"/>
      <c r="GV28" s="110"/>
      <c r="GW28" s="110"/>
      <c r="GX28" s="110"/>
      <c r="GY28" s="110"/>
      <c r="GZ28" s="110"/>
      <c r="HA28" s="110"/>
      <c r="HB28" s="110"/>
      <c r="HC28" s="110"/>
      <c r="HD28" s="110"/>
      <c r="HE28" s="110"/>
      <c r="HF28" s="110"/>
      <c r="HG28" s="110"/>
      <c r="HH28" s="110"/>
      <c r="HI28" s="110"/>
      <c r="HJ28" s="110"/>
      <c r="HK28" s="110"/>
      <c r="HL28" s="110"/>
      <c r="HM28" s="110"/>
      <c r="HN28" s="110"/>
      <c r="HO28" s="110"/>
      <c r="HP28" s="110"/>
      <c r="HQ28" s="110"/>
      <c r="HR28" s="110"/>
      <c r="HS28" s="110"/>
      <c r="HT28" s="110"/>
      <c r="HU28" s="110"/>
      <c r="HV28" s="110"/>
      <c r="HW28" s="110"/>
      <c r="HX28" s="110"/>
      <c r="HY28" s="110"/>
      <c r="HZ28" s="110"/>
      <c r="IA28" s="110"/>
      <c r="IB28" s="110"/>
      <c r="IC28" s="110"/>
      <c r="ID28" s="110"/>
      <c r="IE28" s="110"/>
      <c r="IF28" s="110"/>
      <c r="IG28" s="110"/>
      <c r="IH28" s="110"/>
      <c r="II28" s="110"/>
      <c r="IJ28" s="110"/>
      <c r="IK28" s="110"/>
      <c r="IL28" s="110"/>
      <c r="IM28" s="110"/>
      <c r="IN28" s="110"/>
      <c r="IO28" s="110"/>
      <c r="IP28" s="110"/>
      <c r="IQ28" s="110"/>
      <c r="IR28" s="110"/>
      <c r="IS28" s="110"/>
      <c r="IT28" s="110"/>
      <c r="IU28" s="110"/>
    </row>
    <row r="29" spans="1:256" s="584" customFormat="1" ht="253.5" customHeight="1">
      <c r="A29" s="790"/>
      <c r="B29" s="792"/>
      <c r="C29" s="792"/>
      <c r="D29" s="209" t="s">
        <v>154</v>
      </c>
      <c r="E29" s="209" t="s">
        <v>155</v>
      </c>
      <c r="F29" s="209">
        <v>7</v>
      </c>
      <c r="G29" s="209"/>
      <c r="H29" s="527" t="s">
        <v>156</v>
      </c>
      <c r="I29" s="209" t="s">
        <v>157</v>
      </c>
      <c r="J29" s="209">
        <v>3</v>
      </c>
      <c r="K29" s="209" t="s">
        <v>158</v>
      </c>
      <c r="L29" s="209">
        <v>5</v>
      </c>
      <c r="M29" s="210">
        <v>735</v>
      </c>
      <c r="N29" s="213">
        <f>F29*J29*L29</f>
        <v>105</v>
      </c>
      <c r="O29" s="209" t="s">
        <v>159</v>
      </c>
      <c r="P29" s="209" t="s">
        <v>160</v>
      </c>
      <c r="Q29" s="209" t="s">
        <v>161</v>
      </c>
      <c r="R29" s="209">
        <v>6</v>
      </c>
      <c r="S29" s="209">
        <v>2</v>
      </c>
      <c r="T29" s="209">
        <v>2</v>
      </c>
      <c r="U29" s="209">
        <f>R29*S29*T29</f>
        <v>24</v>
      </c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</row>
    <row r="30" spans="1:256" s="584" customFormat="1" ht="219" customHeight="1">
      <c r="A30" s="790"/>
      <c r="B30" s="792"/>
      <c r="C30" s="792"/>
      <c r="D30" s="209" t="s">
        <v>162</v>
      </c>
      <c r="E30" s="212" t="s">
        <v>163</v>
      </c>
      <c r="F30" s="213">
        <v>5</v>
      </c>
      <c r="G30" s="213"/>
      <c r="H30" s="212" t="s">
        <v>164</v>
      </c>
      <c r="I30" s="212" t="s">
        <v>838</v>
      </c>
      <c r="J30" s="213">
        <v>4</v>
      </c>
      <c r="K30" s="214" t="s">
        <v>165</v>
      </c>
      <c r="L30" s="215">
        <v>5</v>
      </c>
      <c r="M30" s="216">
        <v>535</v>
      </c>
      <c r="N30" s="213">
        <f>F30*J30*L30</f>
        <v>100</v>
      </c>
      <c r="O30" s="212" t="s">
        <v>166</v>
      </c>
      <c r="P30" s="585" t="s">
        <v>160</v>
      </c>
      <c r="Q30" s="213" t="s">
        <v>167</v>
      </c>
      <c r="R30" s="213">
        <f>+F30</f>
        <v>5</v>
      </c>
      <c r="S30" s="213">
        <v>3</v>
      </c>
      <c r="T30" s="213">
        <v>5</v>
      </c>
      <c r="U30" s="586">
        <f>+R30*S30*T30</f>
        <v>75</v>
      </c>
      <c r="V30" s="356"/>
      <c r="W30" s="356"/>
      <c r="X30" s="356"/>
      <c r="Y30" s="356"/>
      <c r="Z30" s="356"/>
      <c r="AA30" s="356"/>
      <c r="AB30" s="356"/>
      <c r="AC30" s="356"/>
      <c r="AD30" s="356"/>
      <c r="AE30" s="356"/>
      <c r="AF30" s="356"/>
      <c r="AG30" s="356"/>
      <c r="AH30" s="356"/>
      <c r="AI30" s="356"/>
      <c r="AJ30" s="356"/>
      <c r="AK30" s="356"/>
      <c r="AL30" s="356"/>
      <c r="AM30" s="356"/>
      <c r="AN30" s="356"/>
      <c r="AO30" s="356"/>
      <c r="AP30" s="356"/>
      <c r="AQ30" s="356"/>
      <c r="AR30" s="356"/>
      <c r="AS30" s="356"/>
      <c r="AT30" s="356"/>
      <c r="AU30" s="356"/>
      <c r="AV30" s="356"/>
      <c r="AW30" s="356"/>
      <c r="AX30" s="356"/>
      <c r="AY30" s="356"/>
      <c r="AZ30" s="356"/>
      <c r="BA30" s="356"/>
      <c r="BB30" s="356"/>
      <c r="BC30" s="356"/>
      <c r="BD30" s="356"/>
      <c r="BE30" s="356"/>
      <c r="BF30" s="356"/>
      <c r="BG30" s="356"/>
      <c r="BH30" s="356"/>
      <c r="BI30" s="356"/>
      <c r="BJ30" s="356"/>
      <c r="BK30" s="356"/>
      <c r="BL30" s="356"/>
      <c r="BM30" s="356"/>
      <c r="BN30" s="356"/>
      <c r="BO30" s="356"/>
      <c r="BP30" s="356"/>
      <c r="BQ30" s="356"/>
      <c r="BR30" s="356"/>
      <c r="BS30" s="356"/>
      <c r="BT30" s="356"/>
      <c r="BU30" s="356"/>
      <c r="BV30" s="356"/>
      <c r="BW30" s="356"/>
      <c r="BX30" s="356"/>
      <c r="BY30" s="356"/>
      <c r="BZ30" s="356"/>
      <c r="CA30" s="356"/>
      <c r="CB30" s="356"/>
      <c r="CC30" s="356"/>
      <c r="CD30" s="356"/>
      <c r="CE30" s="356"/>
      <c r="CF30" s="356"/>
      <c r="CG30" s="356"/>
      <c r="CH30" s="356"/>
      <c r="CI30" s="356"/>
      <c r="CJ30" s="356"/>
      <c r="CK30" s="356"/>
      <c r="CL30" s="356"/>
      <c r="CM30" s="356"/>
      <c r="CN30" s="356"/>
      <c r="CO30" s="356"/>
      <c r="CP30" s="356"/>
      <c r="CQ30" s="356"/>
      <c r="CR30" s="356"/>
      <c r="CS30" s="356"/>
      <c r="CT30" s="356"/>
      <c r="CU30" s="356"/>
      <c r="CV30" s="356"/>
      <c r="CW30" s="356"/>
      <c r="CX30" s="356"/>
      <c r="CY30" s="356"/>
      <c r="CZ30" s="356"/>
      <c r="DA30" s="356"/>
      <c r="DB30" s="356"/>
      <c r="DC30" s="356"/>
      <c r="DD30" s="356"/>
      <c r="DE30" s="356"/>
      <c r="DF30" s="356"/>
      <c r="DG30" s="356"/>
      <c r="DH30" s="356"/>
      <c r="DI30" s="356"/>
      <c r="DJ30" s="356"/>
      <c r="DK30" s="356"/>
      <c r="DL30" s="356"/>
      <c r="DM30" s="356"/>
      <c r="DN30" s="356"/>
      <c r="DO30" s="356"/>
      <c r="DP30" s="356"/>
      <c r="DQ30" s="356"/>
      <c r="DR30" s="356"/>
      <c r="DS30" s="356"/>
      <c r="DT30" s="356"/>
      <c r="DU30" s="356"/>
      <c r="DV30" s="356"/>
      <c r="DW30" s="356"/>
      <c r="DX30" s="356"/>
      <c r="DY30" s="356"/>
      <c r="DZ30" s="356"/>
      <c r="EA30" s="356"/>
      <c r="EB30" s="356"/>
      <c r="EC30" s="356"/>
      <c r="ED30" s="356"/>
      <c r="EE30" s="356"/>
      <c r="EF30" s="356"/>
      <c r="EG30" s="356"/>
      <c r="EH30" s="356"/>
      <c r="EI30" s="356"/>
      <c r="EJ30" s="356"/>
      <c r="EK30" s="356"/>
      <c r="EL30" s="356"/>
      <c r="EM30" s="356"/>
      <c r="EN30" s="356"/>
      <c r="EO30" s="356"/>
      <c r="EP30" s="356"/>
      <c r="EQ30" s="356"/>
      <c r="ER30" s="356"/>
      <c r="ES30" s="356"/>
      <c r="ET30" s="356"/>
      <c r="EU30" s="356"/>
      <c r="EV30" s="356"/>
      <c r="EW30" s="356"/>
      <c r="EX30" s="356"/>
      <c r="EY30" s="356"/>
      <c r="EZ30" s="356"/>
      <c r="FA30" s="356"/>
      <c r="FB30" s="356"/>
      <c r="FC30" s="356"/>
      <c r="FD30" s="356"/>
      <c r="FE30" s="356"/>
      <c r="FF30" s="356"/>
      <c r="FG30" s="356"/>
      <c r="FH30" s="356"/>
      <c r="FI30" s="356"/>
      <c r="FJ30" s="356"/>
      <c r="FK30" s="356"/>
      <c r="FL30" s="356"/>
      <c r="FM30" s="356"/>
      <c r="FN30" s="356"/>
      <c r="FO30" s="356"/>
      <c r="FP30" s="356"/>
      <c r="FQ30" s="356"/>
      <c r="FR30" s="356"/>
      <c r="FS30" s="356"/>
      <c r="FT30" s="356"/>
      <c r="FU30" s="356"/>
      <c r="FV30" s="356"/>
      <c r="FW30" s="356"/>
      <c r="FX30" s="356"/>
      <c r="FY30" s="356"/>
      <c r="FZ30" s="356"/>
      <c r="GA30" s="356"/>
      <c r="GB30" s="356"/>
      <c r="GC30" s="356"/>
      <c r="GD30" s="356"/>
      <c r="GE30" s="356"/>
      <c r="GF30" s="356"/>
      <c r="GG30" s="356"/>
      <c r="GH30" s="356"/>
      <c r="GI30" s="356"/>
      <c r="GJ30" s="356"/>
      <c r="GK30" s="356"/>
      <c r="GL30" s="356"/>
      <c r="GM30" s="356"/>
      <c r="GN30" s="356"/>
      <c r="GO30" s="356"/>
      <c r="GP30" s="356"/>
      <c r="GQ30" s="356"/>
      <c r="GR30" s="356"/>
      <c r="GS30" s="356"/>
      <c r="GT30" s="356"/>
      <c r="GU30" s="356"/>
      <c r="GV30" s="356"/>
      <c r="GW30" s="356"/>
      <c r="GX30" s="356"/>
      <c r="GY30" s="356"/>
      <c r="GZ30" s="356"/>
      <c r="HA30" s="356"/>
      <c r="HB30" s="356"/>
      <c r="HC30" s="356"/>
      <c r="HD30" s="356"/>
      <c r="HE30" s="356"/>
      <c r="HF30" s="356"/>
      <c r="HG30" s="356"/>
      <c r="HH30" s="356"/>
      <c r="HI30" s="356"/>
      <c r="HJ30" s="356"/>
      <c r="HK30" s="356"/>
      <c r="HL30" s="356"/>
      <c r="HM30" s="356"/>
      <c r="HN30" s="356"/>
      <c r="HO30" s="356"/>
      <c r="HP30" s="356"/>
      <c r="HQ30" s="356"/>
      <c r="HR30" s="356"/>
      <c r="HS30" s="356"/>
      <c r="HT30" s="356"/>
      <c r="HU30" s="356"/>
      <c r="HV30" s="356"/>
      <c r="HW30" s="356"/>
      <c r="HX30" s="356"/>
      <c r="HY30" s="356"/>
      <c r="HZ30" s="356"/>
      <c r="IA30" s="356"/>
      <c r="IB30" s="356"/>
      <c r="IC30" s="356"/>
      <c r="ID30" s="356"/>
      <c r="IE30" s="356"/>
      <c r="IF30" s="356"/>
      <c r="IG30" s="356"/>
      <c r="IH30" s="356"/>
      <c r="II30" s="356"/>
      <c r="IJ30" s="356"/>
      <c r="IK30" s="356"/>
      <c r="IL30" s="356"/>
      <c r="IM30" s="356"/>
      <c r="IN30" s="356"/>
      <c r="IO30" s="356"/>
      <c r="IP30" s="356"/>
      <c r="IQ30" s="356"/>
      <c r="IR30" s="356"/>
      <c r="IS30" s="356"/>
      <c r="IT30" s="356"/>
      <c r="IU30" s="356"/>
    </row>
    <row r="31" spans="1:256" ht="27.75" customHeight="1">
      <c r="A31" s="700" t="s">
        <v>103</v>
      </c>
      <c r="B31" s="701"/>
      <c r="C31" s="701"/>
      <c r="D31" s="701"/>
      <c r="E31" s="702"/>
      <c r="F31" s="709" t="s">
        <v>104</v>
      </c>
      <c r="G31" s="710"/>
      <c r="H31" s="710"/>
      <c r="I31" s="710"/>
      <c r="J31" s="710"/>
      <c r="K31" s="710"/>
      <c r="L31" s="710"/>
      <c r="M31" s="710"/>
      <c r="N31" s="710"/>
      <c r="O31" s="711"/>
      <c r="P31" s="662" t="s">
        <v>105</v>
      </c>
      <c r="Q31" s="663"/>
      <c r="R31" s="663"/>
      <c r="S31" s="663"/>
      <c r="T31" s="663"/>
      <c r="U31" s="663"/>
      <c r="V31" s="664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  <c r="DZ31" s="103"/>
      <c r="EA31" s="103"/>
      <c r="EB31" s="103"/>
      <c r="EC31" s="103"/>
      <c r="ED31" s="103"/>
      <c r="EE31" s="103"/>
      <c r="EF31" s="103"/>
      <c r="EG31" s="103"/>
      <c r="EH31" s="103"/>
      <c r="EI31" s="103"/>
      <c r="EJ31" s="103"/>
      <c r="EK31" s="103"/>
      <c r="EL31" s="103"/>
      <c r="EM31" s="103"/>
      <c r="EN31" s="103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3"/>
      <c r="FO31" s="103"/>
      <c r="FP31" s="103"/>
      <c r="FQ31" s="103"/>
      <c r="FR31" s="103"/>
      <c r="FS31" s="103"/>
      <c r="FT31" s="103"/>
      <c r="FU31" s="103"/>
      <c r="FV31" s="103"/>
      <c r="FW31" s="103"/>
      <c r="FX31" s="103"/>
      <c r="FY31" s="103"/>
      <c r="FZ31" s="103"/>
      <c r="GA31" s="103"/>
      <c r="GB31" s="103"/>
      <c r="GC31" s="103"/>
      <c r="GD31" s="103"/>
      <c r="GE31" s="103"/>
      <c r="GF31" s="103"/>
      <c r="GG31" s="103"/>
      <c r="GH31" s="103"/>
      <c r="GI31" s="103"/>
      <c r="GJ31" s="103"/>
      <c r="GK31" s="103"/>
      <c r="GL31" s="103"/>
      <c r="GM31" s="103"/>
      <c r="GN31" s="103"/>
      <c r="GO31" s="103"/>
      <c r="GP31" s="103"/>
      <c r="GQ31" s="103"/>
      <c r="GR31" s="103"/>
      <c r="GS31" s="103"/>
      <c r="GT31" s="103"/>
      <c r="GU31" s="103"/>
      <c r="GV31" s="103"/>
      <c r="GW31" s="103"/>
      <c r="GX31" s="103"/>
      <c r="GY31" s="103"/>
      <c r="GZ31" s="103"/>
      <c r="HA31" s="103"/>
      <c r="HB31" s="103"/>
      <c r="HC31" s="103"/>
      <c r="HD31" s="103"/>
      <c r="HE31" s="103"/>
      <c r="HF31" s="103"/>
      <c r="HG31" s="103"/>
      <c r="HH31" s="103"/>
      <c r="HI31" s="103"/>
      <c r="HJ31" s="103"/>
      <c r="HK31" s="103"/>
      <c r="HL31" s="103"/>
      <c r="HM31" s="103"/>
      <c r="HN31" s="103"/>
      <c r="HO31" s="103"/>
      <c r="HP31" s="103"/>
      <c r="HQ31" s="103"/>
      <c r="HR31" s="103"/>
      <c r="HS31" s="103"/>
      <c r="HT31" s="103"/>
      <c r="HU31" s="103"/>
      <c r="HV31" s="103"/>
      <c r="HW31" s="103"/>
      <c r="HX31" s="103"/>
      <c r="HY31" s="103"/>
      <c r="HZ31" s="103"/>
      <c r="IA31" s="103"/>
      <c r="IB31" s="103"/>
      <c r="IC31" s="103"/>
      <c r="ID31" s="103"/>
      <c r="IE31" s="103"/>
      <c r="IF31" s="103"/>
      <c r="IG31" s="103"/>
      <c r="IH31" s="103"/>
      <c r="II31" s="103"/>
      <c r="IJ31" s="103"/>
      <c r="IK31" s="103"/>
      <c r="IL31" s="103"/>
      <c r="IM31" s="103"/>
      <c r="IN31" s="103"/>
      <c r="IO31" s="103"/>
      <c r="IP31" s="103"/>
      <c r="IQ31" s="103"/>
      <c r="IR31" s="103"/>
      <c r="IS31" s="103"/>
      <c r="IT31" s="103"/>
      <c r="IU31" s="103"/>
      <c r="IV31" s="103"/>
    </row>
    <row r="32" spans="1:256" ht="27.75" customHeight="1">
      <c r="A32" s="703"/>
      <c r="B32" s="704"/>
      <c r="C32" s="704"/>
      <c r="D32" s="704"/>
      <c r="E32" s="705"/>
      <c r="F32" s="712"/>
      <c r="G32" s="713"/>
      <c r="H32" s="713"/>
      <c r="I32" s="713"/>
      <c r="J32" s="713"/>
      <c r="K32" s="713"/>
      <c r="L32" s="713"/>
      <c r="M32" s="713"/>
      <c r="N32" s="713"/>
      <c r="O32" s="714"/>
      <c r="P32" s="662" t="s">
        <v>106</v>
      </c>
      <c r="Q32" s="718"/>
      <c r="R32" s="718"/>
      <c r="S32" s="718"/>
      <c r="T32" s="718"/>
      <c r="U32" s="718"/>
      <c r="V32" s="719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  <c r="CH32" s="103"/>
      <c r="CI32" s="103"/>
      <c r="CJ32" s="103"/>
      <c r="CK32" s="103"/>
      <c r="CL32" s="103"/>
      <c r="CM32" s="103"/>
      <c r="CN32" s="103"/>
      <c r="CO32" s="103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3"/>
      <c r="DA32" s="103"/>
      <c r="DB32" s="103"/>
      <c r="DC32" s="103"/>
      <c r="DD32" s="103"/>
      <c r="DE32" s="103"/>
      <c r="DF32" s="103"/>
      <c r="DG32" s="103"/>
      <c r="DH32" s="103"/>
      <c r="DI32" s="103"/>
      <c r="DJ32" s="103"/>
      <c r="DK32" s="103"/>
      <c r="DL32" s="103"/>
      <c r="DM32" s="103"/>
      <c r="DN32" s="103"/>
      <c r="DO32" s="103"/>
      <c r="DP32" s="103"/>
      <c r="DQ32" s="103"/>
      <c r="DR32" s="103"/>
      <c r="DS32" s="103"/>
      <c r="DT32" s="103"/>
      <c r="DU32" s="103"/>
      <c r="DV32" s="103"/>
      <c r="DW32" s="103"/>
      <c r="DX32" s="103"/>
      <c r="DY32" s="103"/>
      <c r="DZ32" s="103"/>
      <c r="EA32" s="103"/>
      <c r="EB32" s="103"/>
      <c r="EC32" s="103"/>
      <c r="ED32" s="103"/>
      <c r="EE32" s="103"/>
      <c r="EF32" s="103"/>
      <c r="EG32" s="103"/>
      <c r="EH32" s="103"/>
      <c r="EI32" s="103"/>
      <c r="EJ32" s="103"/>
      <c r="EK32" s="103"/>
      <c r="EL32" s="103"/>
      <c r="EM32" s="103"/>
      <c r="EN32" s="103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3"/>
      <c r="FO32" s="103"/>
      <c r="FP32" s="103"/>
      <c r="FQ32" s="103"/>
      <c r="FR32" s="103"/>
      <c r="FS32" s="103"/>
      <c r="FT32" s="103"/>
      <c r="FU32" s="103"/>
      <c r="FV32" s="103"/>
      <c r="FW32" s="103"/>
      <c r="FX32" s="103"/>
      <c r="FY32" s="103"/>
      <c r="FZ32" s="103"/>
      <c r="GA32" s="103"/>
      <c r="GB32" s="103"/>
      <c r="GC32" s="103"/>
      <c r="GD32" s="103"/>
      <c r="GE32" s="103"/>
      <c r="GF32" s="103"/>
      <c r="GG32" s="103"/>
      <c r="GH32" s="103"/>
      <c r="GI32" s="103"/>
      <c r="GJ32" s="103"/>
      <c r="GK32" s="103"/>
      <c r="GL32" s="103"/>
      <c r="GM32" s="103"/>
      <c r="GN32" s="103"/>
      <c r="GO32" s="103"/>
      <c r="GP32" s="103"/>
      <c r="GQ32" s="103"/>
      <c r="GR32" s="103"/>
      <c r="GS32" s="103"/>
      <c r="GT32" s="103"/>
      <c r="GU32" s="103"/>
      <c r="GV32" s="103"/>
      <c r="GW32" s="103"/>
      <c r="GX32" s="103"/>
      <c r="GY32" s="103"/>
      <c r="GZ32" s="103"/>
      <c r="HA32" s="103"/>
      <c r="HB32" s="103"/>
      <c r="HC32" s="103"/>
      <c r="HD32" s="103"/>
      <c r="HE32" s="103"/>
      <c r="HF32" s="103"/>
      <c r="HG32" s="103"/>
      <c r="HH32" s="103"/>
      <c r="HI32" s="103"/>
      <c r="HJ32" s="103"/>
      <c r="HK32" s="103"/>
      <c r="HL32" s="103"/>
      <c r="HM32" s="103"/>
      <c r="HN32" s="103"/>
      <c r="HO32" s="103"/>
      <c r="HP32" s="103"/>
      <c r="HQ32" s="103"/>
      <c r="HR32" s="103"/>
      <c r="HS32" s="103"/>
      <c r="HT32" s="103"/>
      <c r="HU32" s="103"/>
      <c r="HV32" s="103"/>
      <c r="HW32" s="103"/>
      <c r="HX32" s="103"/>
      <c r="HY32" s="103"/>
      <c r="HZ32" s="103"/>
      <c r="IA32" s="103"/>
      <c r="IB32" s="103"/>
      <c r="IC32" s="103"/>
      <c r="ID32" s="103"/>
      <c r="IE32" s="103"/>
      <c r="IF32" s="103"/>
      <c r="IG32" s="103"/>
      <c r="IH32" s="103"/>
      <c r="II32" s="103"/>
      <c r="IJ32" s="103"/>
      <c r="IK32" s="103"/>
      <c r="IL32" s="103"/>
      <c r="IM32" s="103"/>
      <c r="IN32" s="103"/>
      <c r="IO32" s="103"/>
      <c r="IP32" s="103"/>
      <c r="IQ32" s="103"/>
      <c r="IR32" s="103"/>
      <c r="IS32" s="103"/>
      <c r="IT32" s="103"/>
      <c r="IU32" s="103"/>
      <c r="IV32" s="103"/>
    </row>
    <row r="33" spans="1:256" ht="27.75" customHeight="1">
      <c r="A33" s="706"/>
      <c r="B33" s="707"/>
      <c r="C33" s="707"/>
      <c r="D33" s="707"/>
      <c r="E33" s="708"/>
      <c r="F33" s="715"/>
      <c r="G33" s="716"/>
      <c r="H33" s="716"/>
      <c r="I33" s="716"/>
      <c r="J33" s="716"/>
      <c r="K33" s="716"/>
      <c r="L33" s="716"/>
      <c r="M33" s="716"/>
      <c r="N33" s="716"/>
      <c r="O33" s="717"/>
      <c r="P33" s="662" t="s">
        <v>107</v>
      </c>
      <c r="Q33" s="718"/>
      <c r="R33" s="718"/>
      <c r="S33" s="718"/>
      <c r="T33" s="718"/>
      <c r="U33" s="718"/>
      <c r="V33" s="719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/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  <c r="DZ33" s="103"/>
      <c r="EA33" s="103"/>
      <c r="EB33" s="103"/>
      <c r="EC33" s="103"/>
      <c r="ED33" s="103"/>
      <c r="EE33" s="103"/>
      <c r="EF33" s="103"/>
      <c r="EG33" s="103"/>
      <c r="EH33" s="103"/>
      <c r="EI33" s="103"/>
      <c r="EJ33" s="103"/>
      <c r="EK33" s="103"/>
      <c r="EL33" s="103"/>
      <c r="EM33" s="103"/>
      <c r="EN33" s="103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3"/>
      <c r="FO33" s="103"/>
      <c r="FP33" s="103"/>
      <c r="FQ33" s="103"/>
      <c r="FR33" s="103"/>
      <c r="FS33" s="103"/>
      <c r="FT33" s="103"/>
      <c r="FU33" s="103"/>
      <c r="FV33" s="103"/>
      <c r="FW33" s="103"/>
      <c r="FX33" s="103"/>
      <c r="FY33" s="103"/>
      <c r="FZ33" s="103"/>
      <c r="GA33" s="103"/>
      <c r="GB33" s="103"/>
      <c r="GC33" s="103"/>
      <c r="GD33" s="103"/>
      <c r="GE33" s="103"/>
      <c r="GF33" s="103"/>
      <c r="GG33" s="103"/>
      <c r="GH33" s="103"/>
      <c r="GI33" s="103"/>
      <c r="GJ33" s="103"/>
      <c r="GK33" s="103"/>
      <c r="GL33" s="103"/>
      <c r="GM33" s="103"/>
      <c r="GN33" s="103"/>
      <c r="GO33" s="103"/>
      <c r="GP33" s="103"/>
      <c r="GQ33" s="103"/>
      <c r="GR33" s="103"/>
      <c r="GS33" s="103"/>
      <c r="GT33" s="103"/>
      <c r="GU33" s="103"/>
      <c r="GV33" s="103"/>
      <c r="GW33" s="103"/>
      <c r="GX33" s="103"/>
      <c r="GY33" s="103"/>
      <c r="GZ33" s="103"/>
      <c r="HA33" s="103"/>
      <c r="HB33" s="103"/>
      <c r="HC33" s="103"/>
      <c r="HD33" s="103"/>
      <c r="HE33" s="103"/>
      <c r="HF33" s="103"/>
      <c r="HG33" s="103"/>
      <c r="HH33" s="103"/>
      <c r="HI33" s="103"/>
      <c r="HJ33" s="103"/>
      <c r="HK33" s="103"/>
      <c r="HL33" s="103"/>
      <c r="HM33" s="103"/>
      <c r="HN33" s="103"/>
      <c r="HO33" s="103"/>
      <c r="HP33" s="103"/>
      <c r="HQ33" s="103"/>
      <c r="HR33" s="103"/>
      <c r="HS33" s="103"/>
      <c r="HT33" s="103"/>
      <c r="HU33" s="103"/>
      <c r="HV33" s="103"/>
      <c r="HW33" s="103"/>
      <c r="HX33" s="103"/>
      <c r="HY33" s="103"/>
      <c r="HZ33" s="103"/>
      <c r="IA33" s="103"/>
      <c r="IB33" s="103"/>
      <c r="IC33" s="103"/>
      <c r="ID33" s="103"/>
      <c r="IE33" s="103"/>
      <c r="IF33" s="103"/>
      <c r="IG33" s="103"/>
      <c r="IH33" s="103"/>
      <c r="II33" s="103"/>
      <c r="IJ33" s="103"/>
      <c r="IK33" s="103"/>
      <c r="IL33" s="103"/>
      <c r="IM33" s="103"/>
      <c r="IN33" s="103"/>
      <c r="IO33" s="103"/>
      <c r="IP33" s="103"/>
      <c r="IQ33" s="103"/>
      <c r="IR33" s="103"/>
      <c r="IS33" s="103"/>
      <c r="IT33" s="103"/>
      <c r="IU33" s="103"/>
      <c r="IV33" s="103"/>
    </row>
    <row r="34" spans="1:256" ht="35.1" customHeight="1">
      <c r="A34" s="671" t="s">
        <v>108</v>
      </c>
      <c r="B34" s="671"/>
      <c r="C34" s="672" t="s">
        <v>839</v>
      </c>
      <c r="D34" s="673"/>
      <c r="E34" s="674"/>
      <c r="F34" s="662" t="s">
        <v>109</v>
      </c>
      <c r="G34" s="664"/>
      <c r="H34" s="692">
        <v>215331700141</v>
      </c>
      <c r="I34" s="693"/>
      <c r="J34" s="693"/>
      <c r="K34" s="694"/>
      <c r="L34" s="665" t="s">
        <v>110</v>
      </c>
      <c r="M34" s="666"/>
      <c r="N34" s="695"/>
      <c r="O34" s="696"/>
      <c r="P34" s="662" t="s">
        <v>845</v>
      </c>
      <c r="Q34" s="663"/>
      <c r="R34" s="663"/>
      <c r="S34" s="663"/>
      <c r="T34" s="663"/>
      <c r="U34" s="663"/>
      <c r="V34" s="664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103"/>
      <c r="BX34" s="103"/>
      <c r="BY34" s="103"/>
      <c r="BZ34" s="103"/>
      <c r="CA34" s="103"/>
      <c r="CB34" s="103"/>
      <c r="CC34" s="103"/>
      <c r="CD34" s="103"/>
      <c r="CE34" s="103"/>
      <c r="CF34" s="103"/>
      <c r="CG34" s="103"/>
      <c r="CH34" s="103"/>
      <c r="CI34" s="103"/>
      <c r="CJ34" s="103"/>
      <c r="CK34" s="103"/>
      <c r="CL34" s="103"/>
      <c r="CM34" s="103"/>
      <c r="CN34" s="103"/>
      <c r="CO34" s="103"/>
      <c r="CP34" s="103"/>
      <c r="CQ34" s="103"/>
      <c r="CR34" s="103"/>
      <c r="CS34" s="103"/>
      <c r="CT34" s="103"/>
      <c r="CU34" s="103"/>
      <c r="CV34" s="103"/>
      <c r="CW34" s="103"/>
      <c r="CX34" s="103"/>
      <c r="CY34" s="103"/>
      <c r="CZ34" s="103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3"/>
      <c r="DL34" s="103"/>
      <c r="DM34" s="103"/>
      <c r="DN34" s="103"/>
      <c r="DO34" s="103"/>
      <c r="DP34" s="103"/>
      <c r="DQ34" s="103"/>
      <c r="DR34" s="103"/>
      <c r="DS34" s="103"/>
      <c r="DT34" s="103"/>
      <c r="DU34" s="103"/>
      <c r="DV34" s="103"/>
      <c r="DW34" s="103"/>
      <c r="DX34" s="103"/>
      <c r="DY34" s="103"/>
      <c r="DZ34" s="103"/>
      <c r="EA34" s="103"/>
      <c r="EB34" s="103"/>
      <c r="EC34" s="103"/>
      <c r="ED34" s="103"/>
      <c r="EE34" s="103"/>
      <c r="EF34" s="103"/>
      <c r="EG34" s="103"/>
      <c r="EH34" s="103"/>
      <c r="EI34" s="103"/>
      <c r="EJ34" s="103"/>
      <c r="EK34" s="103"/>
      <c r="EL34" s="103"/>
      <c r="EM34" s="103"/>
      <c r="EN34" s="103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3"/>
      <c r="FO34" s="103"/>
      <c r="FP34" s="103"/>
      <c r="FQ34" s="103"/>
      <c r="FR34" s="103"/>
      <c r="FS34" s="103"/>
      <c r="FT34" s="103"/>
      <c r="FU34" s="103"/>
      <c r="FV34" s="103"/>
      <c r="FW34" s="103"/>
      <c r="FX34" s="103"/>
      <c r="FY34" s="103"/>
      <c r="FZ34" s="103"/>
      <c r="GA34" s="103"/>
      <c r="GB34" s="103"/>
      <c r="GC34" s="103"/>
      <c r="GD34" s="103"/>
      <c r="GE34" s="103"/>
      <c r="GF34" s="103"/>
      <c r="GG34" s="103"/>
      <c r="GH34" s="103"/>
      <c r="GI34" s="103"/>
      <c r="GJ34" s="103"/>
      <c r="GK34" s="103"/>
      <c r="GL34" s="103"/>
      <c r="GM34" s="103"/>
      <c r="GN34" s="103"/>
      <c r="GO34" s="103"/>
      <c r="GP34" s="103"/>
      <c r="GQ34" s="103"/>
      <c r="GR34" s="103"/>
      <c r="GS34" s="103"/>
      <c r="GT34" s="103"/>
      <c r="GU34" s="103"/>
      <c r="GV34" s="103"/>
      <c r="GW34" s="103"/>
      <c r="GX34" s="103"/>
      <c r="GY34" s="103"/>
      <c r="GZ34" s="103"/>
      <c r="HA34" s="103"/>
      <c r="HB34" s="103"/>
      <c r="HC34" s="103"/>
      <c r="HD34" s="103"/>
      <c r="HE34" s="103"/>
      <c r="HF34" s="103"/>
      <c r="HG34" s="103"/>
      <c r="HH34" s="103"/>
      <c r="HI34" s="103"/>
      <c r="HJ34" s="103"/>
      <c r="HK34" s="103"/>
      <c r="HL34" s="103"/>
      <c r="HM34" s="103"/>
      <c r="HN34" s="103"/>
      <c r="HO34" s="103"/>
      <c r="HP34" s="103"/>
      <c r="HQ34" s="103"/>
      <c r="HR34" s="103"/>
      <c r="HS34" s="103"/>
      <c r="HT34" s="103"/>
      <c r="HU34" s="103"/>
      <c r="HV34" s="103"/>
      <c r="HW34" s="103"/>
      <c r="HX34" s="103"/>
      <c r="HY34" s="103"/>
      <c r="HZ34" s="103"/>
      <c r="IA34" s="103"/>
      <c r="IB34" s="103"/>
      <c r="IC34" s="103"/>
      <c r="ID34" s="103"/>
      <c r="IE34" s="103"/>
      <c r="IF34" s="103"/>
      <c r="IG34" s="103"/>
      <c r="IH34" s="103"/>
      <c r="II34" s="103"/>
      <c r="IJ34" s="103"/>
      <c r="IK34" s="103"/>
      <c r="IL34" s="103"/>
      <c r="IM34" s="103"/>
      <c r="IN34" s="103"/>
      <c r="IO34" s="103"/>
      <c r="IP34" s="103"/>
      <c r="IQ34" s="103"/>
      <c r="IR34" s="103"/>
      <c r="IS34" s="103"/>
      <c r="IT34" s="103"/>
      <c r="IU34" s="103"/>
      <c r="IV34" s="103"/>
    </row>
    <row r="35" spans="1:256" ht="35.1" customHeight="1">
      <c r="A35" s="671" t="s">
        <v>111</v>
      </c>
      <c r="B35" s="671"/>
      <c r="C35" s="671"/>
      <c r="D35" s="681" t="s">
        <v>55</v>
      </c>
      <c r="E35" s="663"/>
      <c r="F35" s="663"/>
      <c r="G35" s="663"/>
      <c r="H35" s="663"/>
      <c r="I35" s="663"/>
      <c r="J35" s="663"/>
      <c r="K35" s="664"/>
      <c r="L35" s="665" t="s">
        <v>112</v>
      </c>
      <c r="M35" s="666"/>
      <c r="N35" s="666"/>
      <c r="O35" s="667"/>
      <c r="P35" s="682" t="s">
        <v>841</v>
      </c>
      <c r="Q35" s="683"/>
      <c r="R35" s="683"/>
      <c r="S35" s="683"/>
      <c r="T35" s="683"/>
      <c r="U35" s="683"/>
      <c r="V35" s="684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3"/>
      <c r="BW35" s="103"/>
      <c r="BX35" s="103"/>
      <c r="BY35" s="103"/>
      <c r="BZ35" s="103"/>
      <c r="CA35" s="103"/>
      <c r="CB35" s="103"/>
      <c r="CC35" s="103"/>
      <c r="CD35" s="103"/>
      <c r="CE35" s="103"/>
      <c r="CF35" s="103"/>
      <c r="CG35" s="103"/>
      <c r="CH35" s="103"/>
      <c r="CI35" s="103"/>
      <c r="CJ35" s="103"/>
      <c r="CK35" s="103"/>
      <c r="CL35" s="103"/>
      <c r="CM35" s="103"/>
      <c r="CN35" s="103"/>
      <c r="CO35" s="103"/>
      <c r="CP35" s="103"/>
      <c r="CQ35" s="103"/>
      <c r="CR35" s="103"/>
      <c r="CS35" s="103"/>
      <c r="CT35" s="103"/>
      <c r="CU35" s="103"/>
      <c r="CV35" s="103"/>
      <c r="CW35" s="103"/>
      <c r="CX35" s="103"/>
      <c r="CY35" s="103"/>
      <c r="CZ35" s="103"/>
      <c r="DA35" s="103"/>
      <c r="DB35" s="103"/>
      <c r="DC35" s="103"/>
      <c r="DD35" s="103"/>
      <c r="DE35" s="103"/>
      <c r="DF35" s="103"/>
      <c r="DG35" s="103"/>
      <c r="DH35" s="103"/>
      <c r="DI35" s="103"/>
      <c r="DJ35" s="103"/>
      <c r="DK35" s="103"/>
      <c r="DL35" s="103"/>
      <c r="DM35" s="103"/>
      <c r="DN35" s="103"/>
      <c r="DO35" s="103"/>
      <c r="DP35" s="103"/>
      <c r="DQ35" s="103"/>
      <c r="DR35" s="103"/>
      <c r="DS35" s="103"/>
      <c r="DT35" s="103"/>
      <c r="DU35" s="103"/>
      <c r="DV35" s="103"/>
      <c r="DW35" s="103"/>
      <c r="DX35" s="103"/>
      <c r="DY35" s="103"/>
      <c r="DZ35" s="103"/>
      <c r="EA35" s="103"/>
      <c r="EB35" s="103"/>
      <c r="EC35" s="103"/>
      <c r="ED35" s="103"/>
      <c r="EE35" s="103"/>
      <c r="EF35" s="103"/>
      <c r="EG35" s="103"/>
      <c r="EH35" s="103"/>
      <c r="EI35" s="103"/>
      <c r="EJ35" s="103"/>
      <c r="EK35" s="103"/>
      <c r="EL35" s="103"/>
      <c r="EM35" s="103"/>
      <c r="EN35" s="103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3"/>
      <c r="FO35" s="103"/>
      <c r="FP35" s="103"/>
      <c r="FQ35" s="103"/>
      <c r="FR35" s="103"/>
      <c r="FS35" s="103"/>
      <c r="FT35" s="103"/>
      <c r="FU35" s="103"/>
      <c r="FV35" s="103"/>
      <c r="FW35" s="103"/>
      <c r="FX35" s="103"/>
      <c r="FY35" s="103"/>
      <c r="FZ35" s="103"/>
      <c r="GA35" s="103"/>
      <c r="GB35" s="103"/>
      <c r="GC35" s="103"/>
      <c r="GD35" s="103"/>
      <c r="GE35" s="103"/>
      <c r="GF35" s="103"/>
      <c r="GG35" s="103"/>
      <c r="GH35" s="103"/>
      <c r="GI35" s="103"/>
      <c r="GJ35" s="103"/>
      <c r="GK35" s="103"/>
      <c r="GL35" s="103"/>
      <c r="GM35" s="103"/>
      <c r="GN35" s="103"/>
      <c r="GO35" s="103"/>
      <c r="GP35" s="103"/>
      <c r="GQ35" s="103"/>
      <c r="GR35" s="103"/>
      <c r="GS35" s="103"/>
      <c r="GT35" s="103"/>
      <c r="GU35" s="103"/>
      <c r="GV35" s="103"/>
      <c r="GW35" s="103"/>
      <c r="GX35" s="103"/>
      <c r="GY35" s="103"/>
      <c r="GZ35" s="103"/>
      <c r="HA35" s="103"/>
      <c r="HB35" s="103"/>
      <c r="HC35" s="103"/>
      <c r="HD35" s="103"/>
      <c r="HE35" s="103"/>
      <c r="HF35" s="103"/>
      <c r="HG35" s="103"/>
      <c r="HH35" s="103"/>
      <c r="HI35" s="103"/>
      <c r="HJ35" s="103"/>
      <c r="HK35" s="103"/>
      <c r="HL35" s="103"/>
      <c r="HM35" s="103"/>
      <c r="HN35" s="103"/>
      <c r="HO35" s="103"/>
      <c r="HP35" s="103"/>
      <c r="HQ35" s="103"/>
      <c r="HR35" s="103"/>
      <c r="HS35" s="103"/>
      <c r="HT35" s="103"/>
      <c r="HU35" s="103"/>
      <c r="HV35" s="103"/>
      <c r="HW35" s="103"/>
      <c r="HX35" s="103"/>
      <c r="HY35" s="103"/>
      <c r="HZ35" s="103"/>
      <c r="IA35" s="103"/>
      <c r="IB35" s="103"/>
      <c r="IC35" s="103"/>
      <c r="ID35" s="103"/>
      <c r="IE35" s="103"/>
      <c r="IF35" s="103"/>
      <c r="IG35" s="103"/>
      <c r="IH35" s="103"/>
      <c r="II35" s="103"/>
      <c r="IJ35" s="103"/>
      <c r="IK35" s="103"/>
      <c r="IL35" s="103"/>
      <c r="IM35" s="103"/>
      <c r="IN35" s="103"/>
      <c r="IO35" s="103"/>
      <c r="IP35" s="103"/>
      <c r="IQ35" s="103"/>
      <c r="IR35" s="103"/>
      <c r="IS35" s="103"/>
      <c r="IT35" s="103"/>
      <c r="IU35" s="103"/>
      <c r="IV35" s="103"/>
    </row>
    <row r="36" spans="1:256" ht="35.1" customHeight="1">
      <c r="A36" s="671" t="s">
        <v>113</v>
      </c>
      <c r="B36" s="671"/>
      <c r="C36" s="671"/>
      <c r="D36" s="685" t="s">
        <v>55</v>
      </c>
      <c r="E36" s="693"/>
      <c r="F36" s="693"/>
      <c r="G36" s="693"/>
      <c r="H36" s="693"/>
      <c r="I36" s="693"/>
      <c r="J36" s="693"/>
      <c r="K36" s="694"/>
      <c r="L36" s="665" t="s">
        <v>114</v>
      </c>
      <c r="M36" s="666"/>
      <c r="N36" s="666"/>
      <c r="O36" s="667"/>
      <c r="P36" s="686" t="s">
        <v>115</v>
      </c>
      <c r="Q36" s="666"/>
      <c r="R36" s="666"/>
      <c r="S36" s="666"/>
      <c r="T36" s="666"/>
      <c r="U36" s="666"/>
      <c r="V36" s="667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  <c r="CH36" s="103"/>
      <c r="CI36" s="103"/>
      <c r="CJ36" s="103"/>
      <c r="CK36" s="103"/>
      <c r="CL36" s="103"/>
      <c r="CM36" s="103"/>
      <c r="CN36" s="103"/>
      <c r="CO36" s="103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3"/>
      <c r="DA36" s="103"/>
      <c r="DB36" s="103"/>
      <c r="DC36" s="103"/>
      <c r="DD36" s="103"/>
      <c r="DE36" s="103"/>
      <c r="DF36" s="103"/>
      <c r="DG36" s="103"/>
      <c r="DH36" s="103"/>
      <c r="DI36" s="103"/>
      <c r="DJ36" s="103"/>
      <c r="DK36" s="103"/>
      <c r="DL36" s="103"/>
      <c r="DM36" s="103"/>
      <c r="DN36" s="103"/>
      <c r="DO36" s="103"/>
      <c r="DP36" s="103"/>
      <c r="DQ36" s="103"/>
      <c r="DR36" s="103"/>
      <c r="DS36" s="103"/>
      <c r="DT36" s="103"/>
      <c r="DU36" s="103"/>
      <c r="DV36" s="103"/>
      <c r="DW36" s="103"/>
      <c r="DX36" s="103"/>
      <c r="DY36" s="103"/>
      <c r="DZ36" s="103"/>
      <c r="EA36" s="103"/>
      <c r="EB36" s="103"/>
      <c r="EC36" s="103"/>
      <c r="ED36" s="103"/>
      <c r="EE36" s="103"/>
      <c r="EF36" s="103"/>
      <c r="EG36" s="103"/>
      <c r="EH36" s="103"/>
      <c r="EI36" s="103"/>
      <c r="EJ36" s="103"/>
      <c r="EK36" s="103"/>
      <c r="EL36" s="103"/>
      <c r="EM36" s="103"/>
      <c r="EN36" s="103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3"/>
      <c r="FO36" s="103"/>
      <c r="FP36" s="103"/>
      <c r="FQ36" s="103"/>
      <c r="FR36" s="103"/>
      <c r="FS36" s="103"/>
      <c r="FT36" s="103"/>
      <c r="FU36" s="103"/>
      <c r="FV36" s="103"/>
      <c r="FW36" s="103"/>
      <c r="FX36" s="103"/>
      <c r="FY36" s="103"/>
      <c r="FZ36" s="103"/>
      <c r="GA36" s="103"/>
      <c r="GB36" s="103"/>
      <c r="GC36" s="103"/>
      <c r="GD36" s="103"/>
      <c r="GE36" s="103"/>
      <c r="GF36" s="103"/>
      <c r="GG36" s="103"/>
      <c r="GH36" s="103"/>
      <c r="GI36" s="103"/>
      <c r="GJ36" s="103"/>
      <c r="GK36" s="103"/>
      <c r="GL36" s="103"/>
      <c r="GM36" s="103"/>
      <c r="GN36" s="103"/>
      <c r="GO36" s="103"/>
      <c r="GP36" s="103"/>
      <c r="GQ36" s="103"/>
      <c r="GR36" s="103"/>
      <c r="GS36" s="103"/>
      <c r="GT36" s="103"/>
      <c r="GU36" s="103"/>
      <c r="GV36" s="103"/>
      <c r="GW36" s="103"/>
      <c r="GX36" s="103"/>
      <c r="GY36" s="103"/>
      <c r="GZ36" s="103"/>
      <c r="HA36" s="103"/>
      <c r="HB36" s="103"/>
      <c r="HC36" s="103"/>
      <c r="HD36" s="103"/>
      <c r="HE36" s="103"/>
      <c r="HF36" s="103"/>
      <c r="HG36" s="103"/>
      <c r="HH36" s="103"/>
      <c r="HI36" s="103"/>
      <c r="HJ36" s="103"/>
      <c r="HK36" s="103"/>
      <c r="HL36" s="103"/>
      <c r="HM36" s="103"/>
      <c r="HN36" s="103"/>
      <c r="HO36" s="103"/>
      <c r="HP36" s="103"/>
      <c r="HQ36" s="103"/>
      <c r="HR36" s="103"/>
      <c r="HS36" s="103"/>
      <c r="HT36" s="103"/>
      <c r="HU36" s="103"/>
      <c r="HV36" s="103"/>
      <c r="HW36" s="103"/>
      <c r="HX36" s="103"/>
      <c r="HY36" s="103"/>
      <c r="HZ36" s="103"/>
      <c r="IA36" s="103"/>
      <c r="IB36" s="103"/>
      <c r="IC36" s="103"/>
      <c r="ID36" s="103"/>
      <c r="IE36" s="103"/>
      <c r="IF36" s="103"/>
      <c r="IG36" s="103"/>
      <c r="IH36" s="103"/>
      <c r="II36" s="103"/>
      <c r="IJ36" s="103"/>
      <c r="IK36" s="103"/>
      <c r="IL36" s="103"/>
      <c r="IM36" s="103"/>
      <c r="IN36" s="103"/>
      <c r="IO36" s="103"/>
      <c r="IP36" s="103"/>
      <c r="IQ36" s="103"/>
      <c r="IR36" s="103"/>
      <c r="IS36" s="103"/>
      <c r="IT36" s="103"/>
      <c r="IU36" s="103"/>
      <c r="IV36" s="103"/>
    </row>
    <row r="37" spans="1:256" ht="35.1" customHeight="1">
      <c r="A37" s="105" t="s">
        <v>116</v>
      </c>
      <c r="B37" s="105"/>
      <c r="C37" s="105"/>
      <c r="D37" s="690" t="s">
        <v>842</v>
      </c>
      <c r="E37" s="691"/>
      <c r="F37" s="662" t="s">
        <v>117</v>
      </c>
      <c r="G37" s="663"/>
      <c r="H37" s="664"/>
      <c r="I37" s="662" t="s">
        <v>840</v>
      </c>
      <c r="J37" s="663"/>
      <c r="K37" s="664"/>
      <c r="L37" s="665" t="s">
        <v>118</v>
      </c>
      <c r="M37" s="666"/>
      <c r="N37" s="666"/>
      <c r="O37" s="667"/>
      <c r="P37" s="106" t="s">
        <v>119</v>
      </c>
      <c r="Q37" s="107" t="s">
        <v>120</v>
      </c>
      <c r="R37" s="668" t="s">
        <v>115</v>
      </c>
      <c r="S37" s="669"/>
      <c r="T37" s="669"/>
      <c r="U37" s="669"/>
      <c r="V37" s="670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103"/>
      <c r="BY37" s="103"/>
      <c r="BZ37" s="103"/>
      <c r="CA37" s="103"/>
      <c r="CB37" s="103"/>
      <c r="CC37" s="103"/>
      <c r="CD37" s="103"/>
      <c r="CE37" s="103"/>
      <c r="CF37" s="103"/>
      <c r="CG37" s="103"/>
      <c r="CH37" s="103"/>
      <c r="CI37" s="103"/>
      <c r="CJ37" s="103"/>
      <c r="CK37" s="103"/>
      <c r="CL37" s="103"/>
      <c r="CM37" s="103"/>
      <c r="CN37" s="103"/>
      <c r="CO37" s="103"/>
      <c r="CP37" s="103"/>
      <c r="CQ37" s="103"/>
      <c r="CR37" s="103"/>
      <c r="CS37" s="103"/>
      <c r="CT37" s="103"/>
      <c r="CU37" s="103"/>
      <c r="CV37" s="103"/>
      <c r="CW37" s="103"/>
      <c r="CX37" s="103"/>
      <c r="CY37" s="103"/>
      <c r="CZ37" s="103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3"/>
      <c r="DL37" s="103"/>
      <c r="DM37" s="103"/>
      <c r="DN37" s="103"/>
      <c r="DO37" s="103"/>
      <c r="DP37" s="103"/>
      <c r="DQ37" s="103"/>
      <c r="DR37" s="103"/>
      <c r="DS37" s="103"/>
      <c r="DT37" s="103"/>
      <c r="DU37" s="103"/>
      <c r="DV37" s="103"/>
      <c r="DW37" s="103"/>
      <c r="DX37" s="103"/>
      <c r="DY37" s="103"/>
      <c r="DZ37" s="103"/>
      <c r="EA37" s="103"/>
      <c r="EB37" s="103"/>
      <c r="EC37" s="103"/>
      <c r="ED37" s="103"/>
      <c r="EE37" s="103"/>
      <c r="EF37" s="103"/>
      <c r="EG37" s="103"/>
      <c r="EH37" s="103"/>
      <c r="EI37" s="103"/>
      <c r="EJ37" s="103"/>
      <c r="EK37" s="103"/>
      <c r="EL37" s="103"/>
      <c r="EM37" s="103"/>
      <c r="EN37" s="103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3"/>
      <c r="FO37" s="103"/>
      <c r="FP37" s="103"/>
      <c r="FQ37" s="103"/>
      <c r="FR37" s="103"/>
      <c r="FS37" s="103"/>
      <c r="FT37" s="103"/>
      <c r="FU37" s="103"/>
      <c r="FV37" s="103"/>
      <c r="FW37" s="103"/>
      <c r="FX37" s="103"/>
      <c r="FY37" s="103"/>
      <c r="FZ37" s="103"/>
      <c r="GA37" s="103"/>
      <c r="GB37" s="103"/>
      <c r="GC37" s="103"/>
      <c r="GD37" s="103"/>
      <c r="GE37" s="103"/>
      <c r="GF37" s="103"/>
      <c r="GG37" s="103"/>
      <c r="GH37" s="103"/>
      <c r="GI37" s="103"/>
      <c r="GJ37" s="103"/>
      <c r="GK37" s="103"/>
      <c r="GL37" s="103"/>
      <c r="GM37" s="103"/>
      <c r="GN37" s="103"/>
      <c r="GO37" s="103"/>
      <c r="GP37" s="103"/>
      <c r="GQ37" s="103"/>
      <c r="GR37" s="103"/>
      <c r="GS37" s="103"/>
      <c r="GT37" s="103"/>
      <c r="GU37" s="103"/>
      <c r="GV37" s="103"/>
      <c r="GW37" s="103"/>
      <c r="GX37" s="103"/>
      <c r="GY37" s="103"/>
      <c r="GZ37" s="103"/>
      <c r="HA37" s="103"/>
      <c r="HB37" s="103"/>
      <c r="HC37" s="103"/>
      <c r="HD37" s="103"/>
      <c r="HE37" s="103"/>
      <c r="HF37" s="103"/>
      <c r="HG37" s="103"/>
      <c r="HH37" s="103"/>
      <c r="HI37" s="103"/>
      <c r="HJ37" s="103"/>
      <c r="HK37" s="103"/>
      <c r="HL37" s="103"/>
      <c r="HM37" s="103"/>
      <c r="HN37" s="103"/>
      <c r="HO37" s="103"/>
      <c r="HP37" s="103"/>
      <c r="HQ37" s="103"/>
      <c r="HR37" s="103"/>
      <c r="HS37" s="103"/>
      <c r="HT37" s="103"/>
      <c r="HU37" s="103"/>
      <c r="HV37" s="103"/>
      <c r="HW37" s="103"/>
      <c r="HX37" s="103"/>
      <c r="HY37" s="103"/>
      <c r="HZ37" s="103"/>
      <c r="IA37" s="103"/>
      <c r="IB37" s="103"/>
      <c r="IC37" s="103"/>
      <c r="ID37" s="103"/>
      <c r="IE37" s="103"/>
      <c r="IF37" s="103"/>
      <c r="IG37" s="103"/>
      <c r="IH37" s="103"/>
      <c r="II37" s="103"/>
      <c r="IJ37" s="103"/>
      <c r="IK37" s="103"/>
      <c r="IL37" s="103"/>
      <c r="IM37" s="103"/>
      <c r="IN37" s="103"/>
      <c r="IO37" s="103"/>
      <c r="IP37" s="103"/>
      <c r="IQ37" s="103"/>
      <c r="IR37" s="103"/>
      <c r="IS37" s="103"/>
      <c r="IT37" s="103"/>
      <c r="IU37" s="103"/>
      <c r="IV37" s="103"/>
    </row>
    <row r="38" spans="1:256" ht="35.1" customHeight="1">
      <c r="A38" s="671" t="s">
        <v>121</v>
      </c>
      <c r="B38" s="671"/>
      <c r="C38" s="672" t="s">
        <v>525</v>
      </c>
      <c r="D38" s="673"/>
      <c r="E38" s="673"/>
      <c r="F38" s="673"/>
      <c r="G38" s="673"/>
      <c r="H38" s="674"/>
      <c r="I38" s="675" t="s">
        <v>122</v>
      </c>
      <c r="J38" s="676"/>
      <c r="K38" s="677"/>
      <c r="L38" s="665" t="s">
        <v>123</v>
      </c>
      <c r="M38" s="666"/>
      <c r="N38" s="666"/>
      <c r="O38" s="667"/>
      <c r="P38" s="108"/>
      <c r="Q38" s="338" t="s">
        <v>124</v>
      </c>
      <c r="R38" s="678" t="s">
        <v>179</v>
      </c>
      <c r="S38" s="679"/>
      <c r="T38" s="679"/>
      <c r="U38" s="680"/>
      <c r="V38" s="109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3"/>
      <c r="DO38" s="103"/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  <c r="DZ38" s="103"/>
      <c r="EA38" s="103"/>
      <c r="EB38" s="103"/>
      <c r="EC38" s="103"/>
      <c r="ED38" s="103"/>
      <c r="EE38" s="103"/>
      <c r="EF38" s="103"/>
      <c r="EG38" s="103"/>
      <c r="EH38" s="103"/>
      <c r="EI38" s="103"/>
      <c r="EJ38" s="103"/>
      <c r="EK38" s="103"/>
      <c r="EL38" s="103"/>
      <c r="EM38" s="103"/>
      <c r="EN38" s="103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3"/>
      <c r="FO38" s="103"/>
      <c r="FP38" s="103"/>
      <c r="FQ38" s="103"/>
      <c r="FR38" s="103"/>
      <c r="FS38" s="103"/>
      <c r="FT38" s="103"/>
      <c r="FU38" s="103"/>
      <c r="FV38" s="103"/>
      <c r="FW38" s="103"/>
      <c r="FX38" s="103"/>
      <c r="FY38" s="103"/>
      <c r="FZ38" s="103"/>
      <c r="GA38" s="103"/>
      <c r="GB38" s="103"/>
      <c r="GC38" s="103"/>
      <c r="GD38" s="103"/>
      <c r="GE38" s="103"/>
      <c r="GF38" s="103"/>
      <c r="GG38" s="103"/>
      <c r="GH38" s="103"/>
      <c r="GI38" s="103"/>
      <c r="GJ38" s="103"/>
      <c r="GK38" s="103"/>
      <c r="GL38" s="103"/>
      <c r="GM38" s="103"/>
      <c r="GN38" s="103"/>
      <c r="GO38" s="103"/>
      <c r="GP38" s="103"/>
      <c r="GQ38" s="103"/>
      <c r="GR38" s="103"/>
      <c r="GS38" s="103"/>
      <c r="GT38" s="103"/>
      <c r="GU38" s="103"/>
      <c r="GV38" s="103"/>
      <c r="GW38" s="103"/>
      <c r="GX38" s="103"/>
      <c r="GY38" s="103"/>
      <c r="GZ38" s="103"/>
      <c r="HA38" s="103"/>
      <c r="HB38" s="103"/>
      <c r="HC38" s="103"/>
      <c r="HD38" s="103"/>
      <c r="HE38" s="103"/>
      <c r="HF38" s="103"/>
      <c r="HG38" s="103"/>
      <c r="HH38" s="103"/>
      <c r="HI38" s="103"/>
      <c r="HJ38" s="103"/>
      <c r="HK38" s="103"/>
      <c r="HL38" s="103"/>
      <c r="HM38" s="103"/>
      <c r="HN38" s="103"/>
      <c r="HO38" s="103"/>
      <c r="HP38" s="103"/>
      <c r="HQ38" s="103"/>
      <c r="HR38" s="103"/>
      <c r="HS38" s="103"/>
      <c r="HT38" s="103"/>
      <c r="HU38" s="103"/>
      <c r="HV38" s="103"/>
      <c r="HW38" s="103"/>
      <c r="HX38" s="103"/>
      <c r="HY38" s="103"/>
      <c r="HZ38" s="103"/>
      <c r="IA38" s="103"/>
      <c r="IB38" s="103"/>
      <c r="IC38" s="103"/>
      <c r="ID38" s="103"/>
      <c r="IE38" s="103"/>
      <c r="IF38" s="103"/>
      <c r="IG38" s="103"/>
      <c r="IH38" s="103"/>
      <c r="II38" s="103"/>
      <c r="IJ38" s="103"/>
      <c r="IK38" s="103"/>
      <c r="IL38" s="103"/>
      <c r="IM38" s="103"/>
      <c r="IN38" s="103"/>
      <c r="IO38" s="103"/>
      <c r="IP38" s="103"/>
      <c r="IQ38" s="103"/>
      <c r="IR38" s="103"/>
      <c r="IS38" s="103"/>
      <c r="IT38" s="103"/>
      <c r="IU38" s="103"/>
      <c r="IV38" s="103"/>
    </row>
    <row r="39" spans="1:256" ht="27.75" customHeight="1">
      <c r="A39" s="753" t="s">
        <v>126</v>
      </c>
      <c r="B39" s="734" t="s">
        <v>127</v>
      </c>
      <c r="C39" s="734" t="s">
        <v>9</v>
      </c>
      <c r="D39" s="734" t="s">
        <v>128</v>
      </c>
      <c r="E39" s="711" t="s">
        <v>129</v>
      </c>
      <c r="F39" s="745" t="s">
        <v>130</v>
      </c>
      <c r="G39" s="711" t="s">
        <v>131</v>
      </c>
      <c r="H39" s="762" t="s">
        <v>132</v>
      </c>
      <c r="I39" s="742" t="s">
        <v>133</v>
      </c>
      <c r="J39" s="734" t="s">
        <v>134</v>
      </c>
      <c r="K39" s="737" t="s">
        <v>135</v>
      </c>
      <c r="L39" s="734" t="s">
        <v>136</v>
      </c>
      <c r="M39" s="734" t="s">
        <v>137</v>
      </c>
      <c r="N39" s="734" t="s">
        <v>138</v>
      </c>
      <c r="O39" s="734" t="s">
        <v>139</v>
      </c>
      <c r="P39" s="737" t="s">
        <v>140</v>
      </c>
      <c r="Q39" s="711" t="s">
        <v>141</v>
      </c>
      <c r="R39" s="711" t="s">
        <v>142</v>
      </c>
      <c r="S39" s="711" t="s">
        <v>130</v>
      </c>
      <c r="T39" s="711" t="s">
        <v>134</v>
      </c>
      <c r="U39" s="711" t="s">
        <v>136</v>
      </c>
      <c r="V39" s="711" t="s">
        <v>139</v>
      </c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110"/>
      <c r="DL39" s="110"/>
      <c r="DM39" s="110"/>
      <c r="DN39" s="110"/>
      <c r="DO39" s="110"/>
      <c r="DP39" s="110"/>
      <c r="DQ39" s="110"/>
      <c r="DR39" s="110"/>
      <c r="DS39" s="110"/>
      <c r="DT39" s="110"/>
      <c r="DU39" s="110"/>
      <c r="DV39" s="110"/>
      <c r="DW39" s="110"/>
      <c r="DX39" s="110"/>
      <c r="DY39" s="110"/>
      <c r="DZ39" s="110"/>
      <c r="EA39" s="110"/>
      <c r="EB39" s="110"/>
      <c r="EC39" s="110"/>
      <c r="ED39" s="110"/>
      <c r="EE39" s="110"/>
      <c r="EF39" s="110"/>
      <c r="EG39" s="110"/>
      <c r="EH39" s="110"/>
      <c r="EI39" s="110"/>
      <c r="EJ39" s="110"/>
      <c r="EK39" s="110"/>
      <c r="EL39" s="110"/>
      <c r="EM39" s="110"/>
      <c r="EN39" s="110"/>
      <c r="EO39" s="110"/>
      <c r="EP39" s="110"/>
      <c r="EQ39" s="110"/>
      <c r="ER39" s="110"/>
      <c r="ES39" s="110"/>
      <c r="ET39" s="110"/>
      <c r="EU39" s="110"/>
      <c r="EV39" s="110"/>
      <c r="EW39" s="110"/>
      <c r="EX39" s="110"/>
      <c r="EY39" s="110"/>
      <c r="EZ39" s="110"/>
      <c r="FA39" s="110"/>
      <c r="FB39" s="110"/>
      <c r="FC39" s="110"/>
      <c r="FD39" s="110"/>
      <c r="FE39" s="110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0"/>
      <c r="GC39" s="110"/>
      <c r="GD39" s="110"/>
      <c r="GE39" s="110"/>
      <c r="GF39" s="110"/>
      <c r="GG39" s="110"/>
      <c r="GH39" s="110"/>
      <c r="GI39" s="110"/>
      <c r="GJ39" s="110"/>
      <c r="GK39" s="110"/>
      <c r="GL39" s="110"/>
      <c r="GM39" s="110"/>
      <c r="GN39" s="110"/>
      <c r="GO39" s="110"/>
      <c r="GP39" s="110"/>
      <c r="GQ39" s="110"/>
      <c r="GR39" s="110"/>
      <c r="GS39" s="110"/>
      <c r="GT39" s="110"/>
      <c r="GU39" s="110"/>
      <c r="GV39" s="110"/>
      <c r="GW39" s="110"/>
      <c r="GX39" s="110"/>
      <c r="GY39" s="110"/>
      <c r="GZ39" s="110"/>
      <c r="HA39" s="110"/>
      <c r="HB39" s="110"/>
      <c r="HC39" s="110"/>
      <c r="HD39" s="110"/>
      <c r="HE39" s="110"/>
      <c r="HF39" s="110"/>
      <c r="HG39" s="110"/>
      <c r="HH39" s="110"/>
      <c r="HI39" s="110"/>
      <c r="HJ39" s="110"/>
      <c r="HK39" s="110"/>
      <c r="HL39" s="110"/>
      <c r="HM39" s="110"/>
      <c r="HN39" s="110"/>
      <c r="HO39" s="110"/>
      <c r="HP39" s="110"/>
      <c r="HQ39" s="110"/>
      <c r="HR39" s="110"/>
      <c r="HS39" s="110"/>
      <c r="HT39" s="110"/>
      <c r="HU39" s="110"/>
      <c r="HV39" s="110"/>
      <c r="HW39" s="110"/>
      <c r="HX39" s="110"/>
      <c r="HY39" s="110"/>
      <c r="HZ39" s="110"/>
      <c r="IA39" s="110"/>
      <c r="IB39" s="110"/>
      <c r="IC39" s="110"/>
      <c r="ID39" s="110"/>
      <c r="IE39" s="110"/>
      <c r="IF39" s="110"/>
      <c r="IG39" s="110"/>
      <c r="IH39" s="110"/>
      <c r="II39" s="110"/>
      <c r="IJ39" s="110"/>
      <c r="IK39" s="110"/>
      <c r="IL39" s="110"/>
      <c r="IM39" s="110"/>
      <c r="IN39" s="110"/>
      <c r="IO39" s="110"/>
      <c r="IP39" s="110"/>
      <c r="IQ39" s="110"/>
      <c r="IR39" s="110"/>
      <c r="IS39" s="110"/>
      <c r="IT39" s="110"/>
      <c r="IU39" s="110"/>
      <c r="IV39" s="110"/>
    </row>
    <row r="40" spans="1:256" ht="27.75" customHeight="1">
      <c r="A40" s="754"/>
      <c r="B40" s="735"/>
      <c r="C40" s="735"/>
      <c r="D40" s="773"/>
      <c r="E40" s="714"/>
      <c r="F40" s="746"/>
      <c r="G40" s="714"/>
      <c r="H40" s="763"/>
      <c r="I40" s="765"/>
      <c r="J40" s="735"/>
      <c r="K40" s="738"/>
      <c r="L40" s="771"/>
      <c r="M40" s="735"/>
      <c r="N40" s="735"/>
      <c r="O40" s="735"/>
      <c r="P40" s="738"/>
      <c r="Q40" s="714"/>
      <c r="R40" s="714"/>
      <c r="S40" s="714"/>
      <c r="T40" s="714"/>
      <c r="U40" s="714"/>
      <c r="V40" s="714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0"/>
      <c r="DI40" s="110"/>
      <c r="DJ40" s="110"/>
      <c r="DK40" s="110"/>
      <c r="DL40" s="110"/>
      <c r="DM40" s="110"/>
      <c r="DN40" s="110"/>
      <c r="DO40" s="110"/>
      <c r="DP40" s="110"/>
      <c r="DQ40" s="110"/>
      <c r="DR40" s="110"/>
      <c r="DS40" s="110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0"/>
      <c r="EF40" s="110"/>
      <c r="EG40" s="110"/>
      <c r="EH40" s="110"/>
      <c r="EI40" s="110"/>
      <c r="EJ40" s="110"/>
      <c r="EK40" s="110"/>
      <c r="EL40" s="110"/>
      <c r="EM40" s="110"/>
      <c r="EN40" s="110"/>
      <c r="EO40" s="110"/>
      <c r="EP40" s="110"/>
      <c r="EQ40" s="110"/>
      <c r="ER40" s="110"/>
      <c r="ES40" s="110"/>
      <c r="ET40" s="110"/>
      <c r="EU40" s="110"/>
      <c r="EV40" s="110"/>
      <c r="EW40" s="110"/>
      <c r="EX40" s="110"/>
      <c r="EY40" s="110"/>
      <c r="EZ40" s="110"/>
      <c r="FA40" s="110"/>
      <c r="FB40" s="110"/>
      <c r="FC40" s="110"/>
      <c r="FD40" s="110"/>
      <c r="FE40" s="110"/>
      <c r="FF40" s="110"/>
      <c r="FG40" s="110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0"/>
      <c r="GC40" s="110"/>
      <c r="GD40" s="110"/>
      <c r="GE40" s="110"/>
      <c r="GF40" s="110"/>
      <c r="GG40" s="110"/>
      <c r="GH40" s="110"/>
      <c r="GI40" s="110"/>
      <c r="GJ40" s="110"/>
      <c r="GK40" s="110"/>
      <c r="GL40" s="110"/>
      <c r="GM40" s="110"/>
      <c r="GN40" s="110"/>
      <c r="GO40" s="110"/>
      <c r="GP40" s="110"/>
      <c r="GQ40" s="110"/>
      <c r="GR40" s="110"/>
      <c r="GS40" s="110"/>
      <c r="GT40" s="110"/>
      <c r="GU40" s="110"/>
      <c r="GV40" s="110"/>
      <c r="GW40" s="110"/>
      <c r="GX40" s="110"/>
      <c r="GY40" s="110"/>
      <c r="GZ40" s="110"/>
      <c r="HA40" s="110"/>
      <c r="HB40" s="110"/>
      <c r="HC40" s="110"/>
      <c r="HD40" s="110"/>
      <c r="HE40" s="110"/>
      <c r="HF40" s="110"/>
      <c r="HG40" s="110"/>
      <c r="HH40" s="110"/>
      <c r="HI40" s="110"/>
      <c r="HJ40" s="110"/>
      <c r="HK40" s="110"/>
      <c r="HL40" s="110"/>
      <c r="HM40" s="110"/>
      <c r="HN40" s="110"/>
      <c r="HO40" s="110"/>
      <c r="HP40" s="110"/>
      <c r="HQ40" s="110"/>
      <c r="HR40" s="110"/>
      <c r="HS40" s="110"/>
      <c r="HT40" s="110"/>
      <c r="HU40" s="110"/>
      <c r="HV40" s="110"/>
      <c r="HW40" s="110"/>
      <c r="HX40" s="110"/>
      <c r="HY40" s="110"/>
      <c r="HZ40" s="110"/>
      <c r="IA40" s="110"/>
      <c r="IB40" s="110"/>
      <c r="IC40" s="110"/>
      <c r="ID40" s="110"/>
      <c r="IE40" s="110"/>
      <c r="IF40" s="110"/>
      <c r="IG40" s="110"/>
      <c r="IH40" s="110"/>
      <c r="II40" s="110"/>
      <c r="IJ40" s="110"/>
      <c r="IK40" s="110"/>
      <c r="IL40" s="110"/>
      <c r="IM40" s="110"/>
      <c r="IN40" s="110"/>
      <c r="IO40" s="110"/>
      <c r="IP40" s="110"/>
      <c r="IQ40" s="110"/>
      <c r="IR40" s="110"/>
      <c r="IS40" s="110"/>
      <c r="IT40" s="110"/>
      <c r="IU40" s="110"/>
      <c r="IV40" s="110"/>
    </row>
    <row r="41" spans="1:256" ht="27.75" customHeight="1">
      <c r="A41" s="754"/>
      <c r="B41" s="735"/>
      <c r="C41" s="735"/>
      <c r="D41" s="773"/>
      <c r="E41" s="714"/>
      <c r="F41" s="746"/>
      <c r="G41" s="714"/>
      <c r="H41" s="763"/>
      <c r="I41" s="765"/>
      <c r="J41" s="735"/>
      <c r="K41" s="738"/>
      <c r="L41" s="771"/>
      <c r="M41" s="735"/>
      <c r="N41" s="735"/>
      <c r="O41" s="735"/>
      <c r="P41" s="738"/>
      <c r="Q41" s="714"/>
      <c r="R41" s="714"/>
      <c r="S41" s="714"/>
      <c r="T41" s="714"/>
      <c r="U41" s="714"/>
      <c r="V41" s="714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110"/>
      <c r="DO41" s="110"/>
      <c r="DP41" s="110"/>
      <c r="DQ41" s="110"/>
      <c r="DR41" s="110"/>
      <c r="DS41" s="110"/>
      <c r="DT41" s="110"/>
      <c r="DU41" s="110"/>
      <c r="DV41" s="110"/>
      <c r="DW41" s="110"/>
      <c r="DX41" s="110"/>
      <c r="DY41" s="110"/>
      <c r="DZ41" s="110"/>
      <c r="EA41" s="110"/>
      <c r="EB41" s="110"/>
      <c r="EC41" s="110"/>
      <c r="ED41" s="110"/>
      <c r="EE41" s="110"/>
      <c r="EF41" s="110"/>
      <c r="EG41" s="110"/>
      <c r="EH41" s="110"/>
      <c r="EI41" s="110"/>
      <c r="EJ41" s="110"/>
      <c r="EK41" s="110"/>
      <c r="EL41" s="110"/>
      <c r="EM41" s="110"/>
      <c r="EN41" s="110"/>
      <c r="EO41" s="110"/>
      <c r="EP41" s="110"/>
      <c r="EQ41" s="110"/>
      <c r="ER41" s="110"/>
      <c r="ES41" s="110"/>
      <c r="ET41" s="110"/>
      <c r="EU41" s="110"/>
      <c r="EV41" s="110"/>
      <c r="EW41" s="110"/>
      <c r="EX41" s="110"/>
      <c r="EY41" s="110"/>
      <c r="EZ41" s="110"/>
      <c r="FA41" s="110"/>
      <c r="FB41" s="110"/>
      <c r="FC41" s="110"/>
      <c r="FD41" s="110"/>
      <c r="FE41" s="110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0"/>
      <c r="GC41" s="110"/>
      <c r="GD41" s="110"/>
      <c r="GE41" s="110"/>
      <c r="GF41" s="110"/>
      <c r="GG41" s="110"/>
      <c r="GH41" s="110"/>
      <c r="GI41" s="110"/>
      <c r="GJ41" s="110"/>
      <c r="GK41" s="110"/>
      <c r="GL41" s="110"/>
      <c r="GM41" s="110"/>
      <c r="GN41" s="110"/>
      <c r="GO41" s="110"/>
      <c r="GP41" s="110"/>
      <c r="GQ41" s="110"/>
      <c r="GR41" s="110"/>
      <c r="GS41" s="110"/>
      <c r="GT41" s="110"/>
      <c r="GU41" s="110"/>
      <c r="GV41" s="110"/>
      <c r="GW41" s="110"/>
      <c r="GX41" s="110"/>
      <c r="GY41" s="110"/>
      <c r="GZ41" s="110"/>
      <c r="HA41" s="110"/>
      <c r="HB41" s="110"/>
      <c r="HC41" s="110"/>
      <c r="HD41" s="110"/>
      <c r="HE41" s="110"/>
      <c r="HF41" s="110"/>
      <c r="HG41" s="110"/>
      <c r="HH41" s="110"/>
      <c r="HI41" s="110"/>
      <c r="HJ41" s="110"/>
      <c r="HK41" s="110"/>
      <c r="HL41" s="110"/>
      <c r="HM41" s="110"/>
      <c r="HN41" s="110"/>
      <c r="HO41" s="110"/>
      <c r="HP41" s="110"/>
      <c r="HQ41" s="110"/>
      <c r="HR41" s="110"/>
      <c r="HS41" s="110"/>
      <c r="HT41" s="110"/>
      <c r="HU41" s="110"/>
      <c r="HV41" s="110"/>
      <c r="HW41" s="110"/>
      <c r="HX41" s="110"/>
      <c r="HY41" s="110"/>
      <c r="HZ41" s="110"/>
      <c r="IA41" s="110"/>
      <c r="IB41" s="110"/>
      <c r="IC41" s="110"/>
      <c r="ID41" s="110"/>
      <c r="IE41" s="110"/>
      <c r="IF41" s="110"/>
      <c r="IG41" s="110"/>
      <c r="IH41" s="110"/>
      <c r="II41" s="110"/>
      <c r="IJ41" s="110"/>
      <c r="IK41" s="110"/>
      <c r="IL41" s="110"/>
      <c r="IM41" s="110"/>
      <c r="IN41" s="110"/>
      <c r="IO41" s="110"/>
      <c r="IP41" s="110"/>
      <c r="IQ41" s="110"/>
      <c r="IR41" s="110"/>
      <c r="IS41" s="110"/>
      <c r="IT41" s="110"/>
      <c r="IU41" s="110"/>
      <c r="IV41" s="110"/>
    </row>
    <row r="42" spans="1:256" ht="27.75" customHeight="1">
      <c r="A42" s="755"/>
      <c r="B42" s="736"/>
      <c r="C42" s="736"/>
      <c r="D42" s="774"/>
      <c r="E42" s="717"/>
      <c r="F42" s="747"/>
      <c r="G42" s="717"/>
      <c r="H42" s="764"/>
      <c r="I42" s="766"/>
      <c r="J42" s="736"/>
      <c r="K42" s="739"/>
      <c r="L42" s="772"/>
      <c r="M42" s="736"/>
      <c r="N42" s="736"/>
      <c r="O42" s="736"/>
      <c r="P42" s="739"/>
      <c r="Q42" s="717"/>
      <c r="R42" s="717"/>
      <c r="S42" s="717"/>
      <c r="T42" s="717"/>
      <c r="U42" s="717"/>
      <c r="V42" s="717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  <c r="BM42" s="110"/>
      <c r="BN42" s="110"/>
      <c r="BO42" s="110"/>
      <c r="BP42" s="110"/>
      <c r="BQ42" s="110"/>
      <c r="BR42" s="110"/>
      <c r="BS42" s="110"/>
      <c r="BT42" s="110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0"/>
      <c r="CF42" s="110"/>
      <c r="CG42" s="110"/>
      <c r="CH42" s="110"/>
      <c r="CI42" s="110"/>
      <c r="CJ42" s="110"/>
      <c r="CK42" s="110"/>
      <c r="CL42" s="110"/>
      <c r="CM42" s="110"/>
      <c r="CN42" s="110"/>
      <c r="CO42" s="110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0"/>
      <c r="DI42" s="110"/>
      <c r="DJ42" s="110"/>
      <c r="DK42" s="110"/>
      <c r="DL42" s="110"/>
      <c r="DM42" s="110"/>
      <c r="DN42" s="110"/>
      <c r="DO42" s="110"/>
      <c r="DP42" s="110"/>
      <c r="DQ42" s="110"/>
      <c r="DR42" s="110"/>
      <c r="DS42" s="110"/>
      <c r="DT42" s="110"/>
      <c r="DU42" s="110"/>
      <c r="DV42" s="110"/>
      <c r="DW42" s="110"/>
      <c r="DX42" s="110"/>
      <c r="DY42" s="110"/>
      <c r="DZ42" s="110"/>
      <c r="EA42" s="110"/>
      <c r="EB42" s="110"/>
      <c r="EC42" s="110"/>
      <c r="ED42" s="110"/>
      <c r="EE42" s="110"/>
      <c r="EF42" s="110"/>
      <c r="EG42" s="110"/>
      <c r="EH42" s="110"/>
      <c r="EI42" s="110"/>
      <c r="EJ42" s="110"/>
      <c r="EK42" s="110"/>
      <c r="EL42" s="110"/>
      <c r="EM42" s="110"/>
      <c r="EN42" s="110"/>
      <c r="EO42" s="110"/>
      <c r="EP42" s="110"/>
      <c r="EQ42" s="110"/>
      <c r="ER42" s="110"/>
      <c r="ES42" s="110"/>
      <c r="ET42" s="110"/>
      <c r="EU42" s="110"/>
      <c r="EV42" s="110"/>
      <c r="EW42" s="110"/>
      <c r="EX42" s="110"/>
      <c r="EY42" s="110"/>
      <c r="EZ42" s="110"/>
      <c r="FA42" s="110"/>
      <c r="FB42" s="110"/>
      <c r="FC42" s="110"/>
      <c r="FD42" s="110"/>
      <c r="FE42" s="110"/>
      <c r="FF42" s="110"/>
      <c r="FG42" s="110"/>
      <c r="FH42" s="110"/>
      <c r="FI42" s="110"/>
      <c r="FJ42" s="110"/>
      <c r="FK42" s="110"/>
      <c r="FL42" s="110"/>
      <c r="FM42" s="110"/>
      <c r="FN42" s="110"/>
      <c r="FO42" s="110"/>
      <c r="FP42" s="110"/>
      <c r="FQ42" s="110"/>
      <c r="FR42" s="110"/>
      <c r="FS42" s="110"/>
      <c r="FT42" s="110"/>
      <c r="FU42" s="110"/>
      <c r="FV42" s="110"/>
      <c r="FW42" s="110"/>
      <c r="FX42" s="110"/>
      <c r="FY42" s="110"/>
      <c r="FZ42" s="110"/>
      <c r="GA42" s="110"/>
      <c r="GB42" s="110"/>
      <c r="GC42" s="110"/>
      <c r="GD42" s="110"/>
      <c r="GE42" s="110"/>
      <c r="GF42" s="110"/>
      <c r="GG42" s="110"/>
      <c r="GH42" s="110"/>
      <c r="GI42" s="110"/>
      <c r="GJ42" s="110"/>
      <c r="GK42" s="110"/>
      <c r="GL42" s="110"/>
      <c r="GM42" s="110"/>
      <c r="GN42" s="110"/>
      <c r="GO42" s="110"/>
      <c r="GP42" s="110"/>
      <c r="GQ42" s="110"/>
      <c r="GR42" s="110"/>
      <c r="GS42" s="110"/>
      <c r="GT42" s="110"/>
      <c r="GU42" s="110"/>
      <c r="GV42" s="110"/>
      <c r="GW42" s="110"/>
      <c r="GX42" s="110"/>
      <c r="GY42" s="110"/>
      <c r="GZ42" s="110"/>
      <c r="HA42" s="110"/>
      <c r="HB42" s="110"/>
      <c r="HC42" s="110"/>
      <c r="HD42" s="110"/>
      <c r="HE42" s="110"/>
      <c r="HF42" s="110"/>
      <c r="HG42" s="110"/>
      <c r="HH42" s="110"/>
      <c r="HI42" s="110"/>
      <c r="HJ42" s="110"/>
      <c r="HK42" s="110"/>
      <c r="HL42" s="110"/>
      <c r="HM42" s="110"/>
      <c r="HN42" s="110"/>
      <c r="HO42" s="110"/>
      <c r="HP42" s="110"/>
      <c r="HQ42" s="110"/>
      <c r="HR42" s="110"/>
      <c r="HS42" s="110"/>
      <c r="HT42" s="110"/>
      <c r="HU42" s="110"/>
      <c r="HV42" s="110"/>
      <c r="HW42" s="110"/>
      <c r="HX42" s="110"/>
      <c r="HY42" s="110"/>
      <c r="HZ42" s="110"/>
      <c r="IA42" s="110"/>
      <c r="IB42" s="110"/>
      <c r="IC42" s="110"/>
      <c r="ID42" s="110"/>
      <c r="IE42" s="110"/>
      <c r="IF42" s="110"/>
      <c r="IG42" s="110"/>
      <c r="IH42" s="110"/>
      <c r="II42" s="110"/>
      <c r="IJ42" s="110"/>
      <c r="IK42" s="110"/>
      <c r="IL42" s="110"/>
      <c r="IM42" s="110"/>
      <c r="IN42" s="110"/>
      <c r="IO42" s="110"/>
      <c r="IP42" s="110"/>
      <c r="IQ42" s="110"/>
      <c r="IR42" s="110"/>
      <c r="IS42" s="110"/>
      <c r="IT42" s="110"/>
      <c r="IU42" s="110"/>
      <c r="IV42" s="110"/>
    </row>
    <row r="43" spans="1:256" s="362" customFormat="1" ht="107.25" customHeight="1">
      <c r="A43" s="756" t="s">
        <v>168</v>
      </c>
      <c r="B43" s="759" t="s">
        <v>553</v>
      </c>
      <c r="C43" s="357" t="s">
        <v>554</v>
      </c>
      <c r="D43" s="358" t="s">
        <v>555</v>
      </c>
      <c r="E43" s="358" t="s">
        <v>556</v>
      </c>
      <c r="F43" s="342">
        <v>6</v>
      </c>
      <c r="G43" s="342"/>
      <c r="H43" s="343" t="s">
        <v>557</v>
      </c>
      <c r="I43" s="340" t="s">
        <v>558</v>
      </c>
      <c r="J43" s="342">
        <v>2</v>
      </c>
      <c r="K43" s="359" t="s">
        <v>559</v>
      </c>
      <c r="L43" s="341">
        <v>6</v>
      </c>
      <c r="M43" s="341">
        <v>626</v>
      </c>
      <c r="N43" s="360">
        <v>26</v>
      </c>
      <c r="O43" s="341">
        <f>F43*J43*L43</f>
        <v>72</v>
      </c>
      <c r="P43" s="344" t="s">
        <v>55</v>
      </c>
      <c r="Q43" s="345" t="s">
        <v>55</v>
      </c>
      <c r="R43" s="345" t="s">
        <v>55</v>
      </c>
      <c r="S43" s="345" t="s">
        <v>55</v>
      </c>
      <c r="T43" s="345" t="s">
        <v>55</v>
      </c>
      <c r="U43" s="345" t="s">
        <v>55</v>
      </c>
      <c r="V43" s="361"/>
    </row>
    <row r="44" spans="1:256" s="362" customFormat="1" ht="130.5" customHeight="1">
      <c r="A44" s="757"/>
      <c r="B44" s="760"/>
      <c r="C44" s="357" t="s">
        <v>560</v>
      </c>
      <c r="D44" s="340" t="s">
        <v>561</v>
      </c>
      <c r="E44" s="358" t="s">
        <v>562</v>
      </c>
      <c r="F44" s="341">
        <v>5</v>
      </c>
      <c r="G44" s="341"/>
      <c r="H44" s="343" t="s">
        <v>563</v>
      </c>
      <c r="I44" s="340" t="s">
        <v>564</v>
      </c>
      <c r="J44" s="342">
        <v>2</v>
      </c>
      <c r="K44" s="359" t="s">
        <v>565</v>
      </c>
      <c r="L44" s="341">
        <v>6</v>
      </c>
      <c r="M44" s="341">
        <v>526</v>
      </c>
      <c r="N44" s="360">
        <v>26</v>
      </c>
      <c r="O44" s="341">
        <f t="shared" ref="O44:O45" si="0">F44*J44*L44</f>
        <v>60</v>
      </c>
      <c r="P44" s="344" t="s">
        <v>55</v>
      </c>
      <c r="Q44" s="345" t="s">
        <v>55</v>
      </c>
      <c r="R44" s="345" t="s">
        <v>55</v>
      </c>
      <c r="S44" s="345" t="s">
        <v>55</v>
      </c>
      <c r="T44" s="345" t="s">
        <v>55</v>
      </c>
      <c r="U44" s="345" t="s">
        <v>55</v>
      </c>
      <c r="V44" s="361"/>
    </row>
    <row r="45" spans="1:256" s="362" customFormat="1" ht="136.5" customHeight="1">
      <c r="A45" s="758"/>
      <c r="B45" s="761"/>
      <c r="C45" s="357" t="s">
        <v>566</v>
      </c>
      <c r="D45" s="363" t="s">
        <v>567</v>
      </c>
      <c r="E45" s="358" t="s">
        <v>562</v>
      </c>
      <c r="F45" s="341">
        <v>4</v>
      </c>
      <c r="G45" s="364"/>
      <c r="H45" s="365" t="s">
        <v>568</v>
      </c>
      <c r="I45" s="366" t="s">
        <v>569</v>
      </c>
      <c r="J45" s="360">
        <v>2</v>
      </c>
      <c r="K45" s="367" t="s">
        <v>570</v>
      </c>
      <c r="L45" s="360">
        <v>6</v>
      </c>
      <c r="M45" s="360">
        <v>426</v>
      </c>
      <c r="N45" s="360">
        <v>26</v>
      </c>
      <c r="O45" s="341">
        <f t="shared" si="0"/>
        <v>48</v>
      </c>
      <c r="P45" s="344" t="s">
        <v>55</v>
      </c>
      <c r="Q45" s="345" t="s">
        <v>55</v>
      </c>
      <c r="R45" s="345" t="s">
        <v>55</v>
      </c>
      <c r="S45" s="345" t="s">
        <v>55</v>
      </c>
      <c r="T45" s="345" t="s">
        <v>55</v>
      </c>
      <c r="U45" s="345" t="s">
        <v>55</v>
      </c>
      <c r="V45" s="361"/>
    </row>
    <row r="46" spans="1:256" ht="27.75" customHeight="1">
      <c r="A46" s="700" t="s">
        <v>103</v>
      </c>
      <c r="B46" s="701"/>
      <c r="C46" s="701"/>
      <c r="D46" s="701"/>
      <c r="E46" s="702"/>
      <c r="F46" s="709" t="s">
        <v>104</v>
      </c>
      <c r="G46" s="710"/>
      <c r="H46" s="710"/>
      <c r="I46" s="710"/>
      <c r="J46" s="710"/>
      <c r="K46" s="710"/>
      <c r="L46" s="710"/>
      <c r="M46" s="710"/>
      <c r="N46" s="710"/>
      <c r="O46" s="711"/>
      <c r="P46" s="662" t="s">
        <v>105</v>
      </c>
      <c r="Q46" s="663"/>
      <c r="R46" s="663"/>
      <c r="S46" s="663"/>
      <c r="T46" s="663"/>
      <c r="U46" s="663"/>
      <c r="V46" s="664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03"/>
      <c r="BY46" s="103"/>
      <c r="BZ46" s="103"/>
      <c r="CA46" s="103"/>
      <c r="CB46" s="103"/>
      <c r="CC46" s="103"/>
      <c r="CD46" s="103"/>
      <c r="CE46" s="103"/>
      <c r="CF46" s="103"/>
      <c r="CG46" s="103"/>
      <c r="CH46" s="103"/>
      <c r="CI46" s="103"/>
      <c r="CJ46" s="103"/>
      <c r="CK46" s="103"/>
      <c r="CL46" s="103"/>
      <c r="CM46" s="103"/>
      <c r="CN46" s="103"/>
      <c r="CO46" s="103"/>
      <c r="CP46" s="103"/>
      <c r="CQ46" s="103"/>
      <c r="CR46" s="103"/>
      <c r="CS46" s="103"/>
      <c r="CT46" s="103"/>
      <c r="CU46" s="103"/>
      <c r="CV46" s="103"/>
      <c r="CW46" s="103"/>
      <c r="CX46" s="103"/>
      <c r="CY46" s="103"/>
      <c r="CZ46" s="103"/>
      <c r="DA46" s="103"/>
      <c r="DB46" s="103"/>
      <c r="DC46" s="103"/>
      <c r="DD46" s="103"/>
      <c r="DE46" s="103"/>
      <c r="DF46" s="103"/>
      <c r="DG46" s="103"/>
      <c r="DH46" s="103"/>
      <c r="DI46" s="103"/>
      <c r="DJ46" s="103"/>
      <c r="DK46" s="103"/>
      <c r="DL46" s="103"/>
      <c r="DM46" s="103"/>
      <c r="DN46" s="103"/>
      <c r="DO46" s="103"/>
      <c r="DP46" s="103"/>
      <c r="DQ46" s="103"/>
      <c r="DR46" s="103"/>
      <c r="DS46" s="103"/>
      <c r="DT46" s="103"/>
      <c r="DU46" s="103"/>
      <c r="DV46" s="103"/>
      <c r="DW46" s="103"/>
      <c r="DX46" s="103"/>
      <c r="DY46" s="103"/>
      <c r="DZ46" s="103"/>
      <c r="EA46" s="103"/>
      <c r="EB46" s="103"/>
      <c r="EC46" s="103"/>
      <c r="ED46" s="103"/>
      <c r="EE46" s="103"/>
      <c r="EF46" s="103"/>
      <c r="EG46" s="103"/>
      <c r="EH46" s="103"/>
      <c r="EI46" s="103"/>
      <c r="EJ46" s="103"/>
      <c r="EK46" s="103"/>
      <c r="EL46" s="103"/>
      <c r="EM46" s="103"/>
      <c r="EN46" s="103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3"/>
      <c r="FO46" s="103"/>
      <c r="FP46" s="103"/>
      <c r="FQ46" s="103"/>
      <c r="FR46" s="103"/>
      <c r="FS46" s="103"/>
      <c r="FT46" s="103"/>
      <c r="FU46" s="103"/>
      <c r="FV46" s="103"/>
      <c r="FW46" s="103"/>
      <c r="FX46" s="103"/>
      <c r="FY46" s="103"/>
      <c r="FZ46" s="103"/>
      <c r="GA46" s="103"/>
      <c r="GB46" s="103"/>
      <c r="GC46" s="103"/>
      <c r="GD46" s="103"/>
      <c r="GE46" s="103"/>
      <c r="GF46" s="103"/>
      <c r="GG46" s="103"/>
      <c r="GH46" s="103"/>
      <c r="GI46" s="103"/>
      <c r="GJ46" s="103"/>
      <c r="GK46" s="103"/>
      <c r="GL46" s="103"/>
      <c r="GM46" s="103"/>
      <c r="GN46" s="103"/>
      <c r="GO46" s="103"/>
      <c r="GP46" s="103"/>
      <c r="GQ46" s="103"/>
      <c r="GR46" s="103"/>
      <c r="GS46" s="103"/>
      <c r="GT46" s="103"/>
      <c r="GU46" s="103"/>
      <c r="GV46" s="103"/>
      <c r="GW46" s="103"/>
      <c r="GX46" s="103"/>
      <c r="GY46" s="103"/>
      <c r="GZ46" s="103"/>
      <c r="HA46" s="103"/>
      <c r="HB46" s="103"/>
      <c r="HC46" s="103"/>
      <c r="HD46" s="103"/>
      <c r="HE46" s="103"/>
      <c r="HF46" s="103"/>
      <c r="HG46" s="103"/>
      <c r="HH46" s="103"/>
      <c r="HI46" s="103"/>
      <c r="HJ46" s="103"/>
      <c r="HK46" s="103"/>
      <c r="HL46" s="103"/>
      <c r="HM46" s="103"/>
      <c r="HN46" s="103"/>
      <c r="HO46" s="103"/>
      <c r="HP46" s="103"/>
      <c r="HQ46" s="103"/>
      <c r="HR46" s="103"/>
      <c r="HS46" s="103"/>
      <c r="HT46" s="103"/>
      <c r="HU46" s="103"/>
      <c r="HV46" s="103"/>
      <c r="HW46" s="103"/>
      <c r="HX46" s="103"/>
      <c r="HY46" s="103"/>
      <c r="HZ46" s="103"/>
      <c r="IA46" s="103"/>
      <c r="IB46" s="103"/>
      <c r="IC46" s="103"/>
      <c r="ID46" s="103"/>
      <c r="IE46" s="103"/>
      <c r="IF46" s="103"/>
      <c r="IG46" s="103"/>
      <c r="IH46" s="103"/>
      <c r="II46" s="103"/>
      <c r="IJ46" s="103"/>
      <c r="IK46" s="103"/>
      <c r="IL46" s="103"/>
      <c r="IM46" s="103"/>
      <c r="IN46" s="103"/>
      <c r="IO46" s="103"/>
      <c r="IP46" s="103"/>
      <c r="IQ46" s="103"/>
      <c r="IR46" s="103"/>
      <c r="IS46" s="103"/>
      <c r="IT46" s="103"/>
      <c r="IU46" s="103"/>
      <c r="IV46" s="103"/>
    </row>
    <row r="47" spans="1:256" ht="27.75" customHeight="1">
      <c r="A47" s="703"/>
      <c r="B47" s="704"/>
      <c r="C47" s="704"/>
      <c r="D47" s="704"/>
      <c r="E47" s="705"/>
      <c r="F47" s="712"/>
      <c r="G47" s="713"/>
      <c r="H47" s="713"/>
      <c r="I47" s="713"/>
      <c r="J47" s="713"/>
      <c r="K47" s="713"/>
      <c r="L47" s="713"/>
      <c r="M47" s="713"/>
      <c r="N47" s="713"/>
      <c r="O47" s="714"/>
      <c r="P47" s="662" t="s">
        <v>106</v>
      </c>
      <c r="Q47" s="718"/>
      <c r="R47" s="718"/>
      <c r="S47" s="718"/>
      <c r="T47" s="718"/>
      <c r="U47" s="718"/>
      <c r="V47" s="719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3"/>
      <c r="BW47" s="103"/>
      <c r="BX47" s="103"/>
      <c r="BY47" s="103"/>
      <c r="BZ47" s="103"/>
      <c r="CA47" s="103"/>
      <c r="CB47" s="103"/>
      <c r="CC47" s="103"/>
      <c r="CD47" s="103"/>
      <c r="CE47" s="103"/>
      <c r="CF47" s="103"/>
      <c r="CG47" s="103"/>
      <c r="CH47" s="103"/>
      <c r="CI47" s="103"/>
      <c r="CJ47" s="103"/>
      <c r="CK47" s="103"/>
      <c r="CL47" s="103"/>
      <c r="CM47" s="103"/>
      <c r="CN47" s="103"/>
      <c r="CO47" s="103"/>
      <c r="CP47" s="103"/>
      <c r="CQ47" s="103"/>
      <c r="CR47" s="103"/>
      <c r="CS47" s="103"/>
      <c r="CT47" s="103"/>
      <c r="CU47" s="103"/>
      <c r="CV47" s="103"/>
      <c r="CW47" s="103"/>
      <c r="CX47" s="103"/>
      <c r="CY47" s="103"/>
      <c r="CZ47" s="103"/>
      <c r="DA47" s="103"/>
      <c r="DB47" s="103"/>
      <c r="DC47" s="103"/>
      <c r="DD47" s="103"/>
      <c r="DE47" s="103"/>
      <c r="DF47" s="103"/>
      <c r="DG47" s="103"/>
      <c r="DH47" s="103"/>
      <c r="DI47" s="103"/>
      <c r="DJ47" s="103"/>
      <c r="DK47" s="103"/>
      <c r="DL47" s="103"/>
      <c r="DM47" s="103"/>
      <c r="DN47" s="103"/>
      <c r="DO47" s="103"/>
      <c r="DP47" s="103"/>
      <c r="DQ47" s="103"/>
      <c r="DR47" s="103"/>
      <c r="DS47" s="103"/>
      <c r="DT47" s="103"/>
      <c r="DU47" s="103"/>
      <c r="DV47" s="103"/>
      <c r="DW47" s="103"/>
      <c r="DX47" s="103"/>
      <c r="DY47" s="103"/>
      <c r="DZ47" s="103"/>
      <c r="EA47" s="103"/>
      <c r="EB47" s="103"/>
      <c r="EC47" s="103"/>
      <c r="ED47" s="103"/>
      <c r="EE47" s="103"/>
      <c r="EF47" s="103"/>
      <c r="EG47" s="103"/>
      <c r="EH47" s="103"/>
      <c r="EI47" s="103"/>
      <c r="EJ47" s="103"/>
      <c r="EK47" s="103"/>
      <c r="EL47" s="103"/>
      <c r="EM47" s="103"/>
      <c r="EN47" s="103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3"/>
      <c r="FO47" s="103"/>
      <c r="FP47" s="103"/>
      <c r="FQ47" s="103"/>
      <c r="FR47" s="103"/>
      <c r="FS47" s="103"/>
      <c r="FT47" s="103"/>
      <c r="FU47" s="103"/>
      <c r="FV47" s="103"/>
      <c r="FW47" s="103"/>
      <c r="FX47" s="103"/>
      <c r="FY47" s="103"/>
      <c r="FZ47" s="103"/>
      <c r="GA47" s="103"/>
      <c r="GB47" s="103"/>
      <c r="GC47" s="103"/>
      <c r="GD47" s="103"/>
      <c r="GE47" s="103"/>
      <c r="GF47" s="103"/>
      <c r="GG47" s="103"/>
      <c r="GH47" s="103"/>
      <c r="GI47" s="103"/>
      <c r="GJ47" s="103"/>
      <c r="GK47" s="103"/>
      <c r="GL47" s="103"/>
      <c r="GM47" s="103"/>
      <c r="GN47" s="103"/>
      <c r="GO47" s="103"/>
      <c r="GP47" s="103"/>
      <c r="GQ47" s="103"/>
      <c r="GR47" s="103"/>
      <c r="GS47" s="103"/>
      <c r="GT47" s="103"/>
      <c r="GU47" s="103"/>
      <c r="GV47" s="103"/>
      <c r="GW47" s="103"/>
      <c r="GX47" s="103"/>
      <c r="GY47" s="103"/>
      <c r="GZ47" s="103"/>
      <c r="HA47" s="103"/>
      <c r="HB47" s="103"/>
      <c r="HC47" s="103"/>
      <c r="HD47" s="103"/>
      <c r="HE47" s="103"/>
      <c r="HF47" s="103"/>
      <c r="HG47" s="103"/>
      <c r="HH47" s="103"/>
      <c r="HI47" s="103"/>
      <c r="HJ47" s="103"/>
      <c r="HK47" s="103"/>
      <c r="HL47" s="103"/>
      <c r="HM47" s="103"/>
      <c r="HN47" s="103"/>
      <c r="HO47" s="103"/>
      <c r="HP47" s="103"/>
      <c r="HQ47" s="103"/>
      <c r="HR47" s="103"/>
      <c r="HS47" s="103"/>
      <c r="HT47" s="103"/>
      <c r="HU47" s="103"/>
      <c r="HV47" s="103"/>
      <c r="HW47" s="103"/>
      <c r="HX47" s="103"/>
      <c r="HY47" s="103"/>
      <c r="HZ47" s="103"/>
      <c r="IA47" s="103"/>
      <c r="IB47" s="103"/>
      <c r="IC47" s="103"/>
      <c r="ID47" s="103"/>
      <c r="IE47" s="103"/>
      <c r="IF47" s="103"/>
      <c r="IG47" s="103"/>
      <c r="IH47" s="103"/>
      <c r="II47" s="103"/>
      <c r="IJ47" s="103"/>
      <c r="IK47" s="103"/>
      <c r="IL47" s="103"/>
      <c r="IM47" s="103"/>
      <c r="IN47" s="103"/>
      <c r="IO47" s="103"/>
      <c r="IP47" s="103"/>
      <c r="IQ47" s="103"/>
      <c r="IR47" s="103"/>
      <c r="IS47" s="103"/>
      <c r="IT47" s="103"/>
      <c r="IU47" s="103"/>
      <c r="IV47" s="103"/>
    </row>
    <row r="48" spans="1:256" ht="27.75" customHeight="1">
      <c r="A48" s="706"/>
      <c r="B48" s="707"/>
      <c r="C48" s="707"/>
      <c r="D48" s="707"/>
      <c r="E48" s="708"/>
      <c r="F48" s="715"/>
      <c r="G48" s="716"/>
      <c r="H48" s="716"/>
      <c r="I48" s="716"/>
      <c r="J48" s="716"/>
      <c r="K48" s="716"/>
      <c r="L48" s="716"/>
      <c r="M48" s="716"/>
      <c r="N48" s="716"/>
      <c r="O48" s="717"/>
      <c r="P48" s="662" t="s">
        <v>107</v>
      </c>
      <c r="Q48" s="718"/>
      <c r="R48" s="718"/>
      <c r="S48" s="718"/>
      <c r="T48" s="718"/>
      <c r="U48" s="718"/>
      <c r="V48" s="719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3"/>
      <c r="CF48" s="103"/>
      <c r="CG48" s="103"/>
      <c r="CH48" s="103"/>
      <c r="CI48" s="103"/>
      <c r="CJ48" s="103"/>
      <c r="CK48" s="103"/>
      <c r="CL48" s="103"/>
      <c r="CM48" s="103"/>
      <c r="CN48" s="103"/>
      <c r="CO48" s="103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3"/>
      <c r="DA48" s="103"/>
      <c r="DB48" s="103"/>
      <c r="DC48" s="103"/>
      <c r="DD48" s="103"/>
      <c r="DE48" s="103"/>
      <c r="DF48" s="103"/>
      <c r="DG48" s="103"/>
      <c r="DH48" s="103"/>
      <c r="DI48" s="103"/>
      <c r="DJ48" s="103"/>
      <c r="DK48" s="103"/>
      <c r="DL48" s="103"/>
      <c r="DM48" s="103"/>
      <c r="DN48" s="103"/>
      <c r="DO48" s="103"/>
      <c r="DP48" s="103"/>
      <c r="DQ48" s="103"/>
      <c r="DR48" s="103"/>
      <c r="DS48" s="103"/>
      <c r="DT48" s="103"/>
      <c r="DU48" s="103"/>
      <c r="DV48" s="103"/>
      <c r="DW48" s="103"/>
      <c r="DX48" s="103"/>
      <c r="DY48" s="103"/>
      <c r="DZ48" s="103"/>
      <c r="EA48" s="103"/>
      <c r="EB48" s="103"/>
      <c r="EC48" s="103"/>
      <c r="ED48" s="103"/>
      <c r="EE48" s="103"/>
      <c r="EF48" s="103"/>
      <c r="EG48" s="103"/>
      <c r="EH48" s="103"/>
      <c r="EI48" s="103"/>
      <c r="EJ48" s="103"/>
      <c r="EK48" s="103"/>
      <c r="EL48" s="103"/>
      <c r="EM48" s="103"/>
      <c r="EN48" s="103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3"/>
      <c r="FO48" s="103"/>
      <c r="FP48" s="103"/>
      <c r="FQ48" s="103"/>
      <c r="FR48" s="103"/>
      <c r="FS48" s="103"/>
      <c r="FT48" s="103"/>
      <c r="FU48" s="103"/>
      <c r="FV48" s="103"/>
      <c r="FW48" s="103"/>
      <c r="FX48" s="103"/>
      <c r="FY48" s="103"/>
      <c r="FZ48" s="103"/>
      <c r="GA48" s="103"/>
      <c r="GB48" s="103"/>
      <c r="GC48" s="103"/>
      <c r="GD48" s="103"/>
      <c r="GE48" s="103"/>
      <c r="GF48" s="103"/>
      <c r="GG48" s="103"/>
      <c r="GH48" s="103"/>
      <c r="GI48" s="103"/>
      <c r="GJ48" s="103"/>
      <c r="GK48" s="103"/>
      <c r="GL48" s="103"/>
      <c r="GM48" s="103"/>
      <c r="GN48" s="103"/>
      <c r="GO48" s="103"/>
      <c r="GP48" s="103"/>
      <c r="GQ48" s="103"/>
      <c r="GR48" s="103"/>
      <c r="GS48" s="103"/>
      <c r="GT48" s="103"/>
      <c r="GU48" s="103"/>
      <c r="GV48" s="103"/>
      <c r="GW48" s="103"/>
      <c r="GX48" s="103"/>
      <c r="GY48" s="103"/>
      <c r="GZ48" s="103"/>
      <c r="HA48" s="103"/>
      <c r="HB48" s="103"/>
      <c r="HC48" s="103"/>
      <c r="HD48" s="103"/>
      <c r="HE48" s="103"/>
      <c r="HF48" s="103"/>
      <c r="HG48" s="103"/>
      <c r="HH48" s="103"/>
      <c r="HI48" s="103"/>
      <c r="HJ48" s="103"/>
      <c r="HK48" s="103"/>
      <c r="HL48" s="103"/>
      <c r="HM48" s="103"/>
      <c r="HN48" s="103"/>
      <c r="HO48" s="103"/>
      <c r="HP48" s="103"/>
      <c r="HQ48" s="103"/>
      <c r="HR48" s="103"/>
      <c r="HS48" s="103"/>
      <c r="HT48" s="103"/>
      <c r="HU48" s="103"/>
      <c r="HV48" s="103"/>
      <c r="HW48" s="103"/>
      <c r="HX48" s="103"/>
      <c r="HY48" s="103"/>
      <c r="HZ48" s="103"/>
      <c r="IA48" s="103"/>
      <c r="IB48" s="103"/>
      <c r="IC48" s="103"/>
      <c r="ID48" s="103"/>
      <c r="IE48" s="103"/>
      <c r="IF48" s="103"/>
      <c r="IG48" s="103"/>
      <c r="IH48" s="103"/>
      <c r="II48" s="103"/>
      <c r="IJ48" s="103"/>
      <c r="IK48" s="103"/>
      <c r="IL48" s="103"/>
      <c r="IM48" s="103"/>
      <c r="IN48" s="103"/>
      <c r="IO48" s="103"/>
      <c r="IP48" s="103"/>
      <c r="IQ48" s="103"/>
      <c r="IR48" s="103"/>
      <c r="IS48" s="103"/>
      <c r="IT48" s="103"/>
      <c r="IU48" s="103"/>
      <c r="IV48" s="103"/>
    </row>
    <row r="49" spans="1:256" ht="35.1" customHeight="1">
      <c r="A49" s="671" t="s">
        <v>108</v>
      </c>
      <c r="B49" s="671"/>
      <c r="C49" s="672" t="s">
        <v>839</v>
      </c>
      <c r="D49" s="673"/>
      <c r="E49" s="674"/>
      <c r="F49" s="662" t="s">
        <v>109</v>
      </c>
      <c r="G49" s="664"/>
      <c r="H49" s="692">
        <v>215331700141</v>
      </c>
      <c r="I49" s="693"/>
      <c r="J49" s="693"/>
      <c r="K49" s="694"/>
      <c r="L49" s="665" t="s">
        <v>110</v>
      </c>
      <c r="M49" s="666"/>
      <c r="N49" s="695"/>
      <c r="O49" s="696"/>
      <c r="P49" s="662" t="s">
        <v>846</v>
      </c>
      <c r="Q49" s="663"/>
      <c r="R49" s="663"/>
      <c r="S49" s="663"/>
      <c r="T49" s="663"/>
      <c r="U49" s="663"/>
      <c r="V49" s="664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3"/>
      <c r="BT49" s="103"/>
      <c r="BU49" s="103"/>
      <c r="BV49" s="103"/>
      <c r="BW49" s="103"/>
      <c r="BX49" s="103"/>
      <c r="BY49" s="103"/>
      <c r="BZ49" s="103"/>
      <c r="CA49" s="103"/>
      <c r="CB49" s="103"/>
      <c r="CC49" s="103"/>
      <c r="CD49" s="103"/>
      <c r="CE49" s="103"/>
      <c r="CF49" s="103"/>
      <c r="CG49" s="103"/>
      <c r="CH49" s="103"/>
      <c r="CI49" s="103"/>
      <c r="CJ49" s="103"/>
      <c r="CK49" s="103"/>
      <c r="CL49" s="103"/>
      <c r="CM49" s="103"/>
      <c r="CN49" s="103"/>
      <c r="CO49" s="103"/>
      <c r="CP49" s="103"/>
      <c r="CQ49" s="103"/>
      <c r="CR49" s="103"/>
      <c r="CS49" s="103"/>
      <c r="CT49" s="103"/>
      <c r="CU49" s="103"/>
      <c r="CV49" s="103"/>
      <c r="CW49" s="103"/>
      <c r="CX49" s="103"/>
      <c r="CY49" s="103"/>
      <c r="CZ49" s="103"/>
      <c r="DA49" s="103"/>
      <c r="DB49" s="103"/>
      <c r="DC49" s="103"/>
      <c r="DD49" s="103"/>
      <c r="DE49" s="103"/>
      <c r="DF49" s="103"/>
      <c r="DG49" s="103"/>
      <c r="DH49" s="103"/>
      <c r="DI49" s="103"/>
      <c r="DJ49" s="103"/>
      <c r="DK49" s="103"/>
      <c r="DL49" s="103"/>
      <c r="DM49" s="103"/>
      <c r="DN49" s="103"/>
      <c r="DO49" s="103"/>
      <c r="DP49" s="103"/>
      <c r="DQ49" s="103"/>
      <c r="DR49" s="103"/>
      <c r="DS49" s="103"/>
      <c r="DT49" s="103"/>
      <c r="DU49" s="103"/>
      <c r="DV49" s="103"/>
      <c r="DW49" s="103"/>
      <c r="DX49" s="103"/>
      <c r="DY49" s="103"/>
      <c r="DZ49" s="103"/>
      <c r="EA49" s="103"/>
      <c r="EB49" s="103"/>
      <c r="EC49" s="103"/>
      <c r="ED49" s="103"/>
      <c r="EE49" s="103"/>
      <c r="EF49" s="103"/>
      <c r="EG49" s="103"/>
      <c r="EH49" s="103"/>
      <c r="EI49" s="103"/>
      <c r="EJ49" s="103"/>
      <c r="EK49" s="103"/>
      <c r="EL49" s="103"/>
      <c r="EM49" s="103"/>
      <c r="EN49" s="103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3"/>
      <c r="FO49" s="103"/>
      <c r="FP49" s="103"/>
      <c r="FQ49" s="103"/>
      <c r="FR49" s="103"/>
      <c r="FS49" s="103"/>
      <c r="FT49" s="103"/>
      <c r="FU49" s="103"/>
      <c r="FV49" s="103"/>
      <c r="FW49" s="103"/>
      <c r="FX49" s="103"/>
      <c r="FY49" s="103"/>
      <c r="FZ49" s="103"/>
      <c r="GA49" s="103"/>
      <c r="GB49" s="103"/>
      <c r="GC49" s="103"/>
      <c r="GD49" s="103"/>
      <c r="GE49" s="103"/>
      <c r="GF49" s="103"/>
      <c r="GG49" s="103"/>
      <c r="GH49" s="103"/>
      <c r="GI49" s="103"/>
      <c r="GJ49" s="103"/>
      <c r="GK49" s="103"/>
      <c r="GL49" s="103"/>
      <c r="GM49" s="103"/>
      <c r="GN49" s="103"/>
      <c r="GO49" s="103"/>
      <c r="GP49" s="103"/>
      <c r="GQ49" s="103"/>
      <c r="GR49" s="103"/>
      <c r="GS49" s="103"/>
      <c r="GT49" s="103"/>
      <c r="GU49" s="103"/>
      <c r="GV49" s="103"/>
      <c r="GW49" s="103"/>
      <c r="GX49" s="103"/>
      <c r="GY49" s="103"/>
      <c r="GZ49" s="103"/>
      <c r="HA49" s="103"/>
      <c r="HB49" s="103"/>
      <c r="HC49" s="103"/>
      <c r="HD49" s="103"/>
      <c r="HE49" s="103"/>
      <c r="HF49" s="103"/>
      <c r="HG49" s="103"/>
      <c r="HH49" s="103"/>
      <c r="HI49" s="103"/>
      <c r="HJ49" s="103"/>
      <c r="HK49" s="103"/>
      <c r="HL49" s="103"/>
      <c r="HM49" s="103"/>
      <c r="HN49" s="103"/>
      <c r="HO49" s="103"/>
      <c r="HP49" s="103"/>
      <c r="HQ49" s="103"/>
      <c r="HR49" s="103"/>
      <c r="HS49" s="103"/>
      <c r="HT49" s="103"/>
      <c r="HU49" s="103"/>
      <c r="HV49" s="103"/>
      <c r="HW49" s="103"/>
      <c r="HX49" s="103"/>
      <c r="HY49" s="103"/>
      <c r="HZ49" s="103"/>
      <c r="IA49" s="103"/>
      <c r="IB49" s="103"/>
      <c r="IC49" s="103"/>
      <c r="ID49" s="103"/>
      <c r="IE49" s="103"/>
      <c r="IF49" s="103"/>
      <c r="IG49" s="103"/>
      <c r="IH49" s="103"/>
      <c r="II49" s="103"/>
      <c r="IJ49" s="103"/>
      <c r="IK49" s="103"/>
      <c r="IL49" s="103"/>
      <c r="IM49" s="103"/>
      <c r="IN49" s="103"/>
      <c r="IO49" s="103"/>
      <c r="IP49" s="103"/>
      <c r="IQ49" s="103"/>
      <c r="IR49" s="103"/>
      <c r="IS49" s="103"/>
      <c r="IT49" s="103"/>
      <c r="IU49" s="103"/>
      <c r="IV49" s="103"/>
    </row>
    <row r="50" spans="1:256" ht="35.1" customHeight="1">
      <c r="A50" s="671" t="s">
        <v>111</v>
      </c>
      <c r="B50" s="671"/>
      <c r="C50" s="671"/>
      <c r="D50" s="681" t="s">
        <v>55</v>
      </c>
      <c r="E50" s="663"/>
      <c r="F50" s="663"/>
      <c r="G50" s="663"/>
      <c r="H50" s="663"/>
      <c r="I50" s="663"/>
      <c r="J50" s="663"/>
      <c r="K50" s="664"/>
      <c r="L50" s="665" t="s">
        <v>112</v>
      </c>
      <c r="M50" s="666"/>
      <c r="N50" s="666"/>
      <c r="O50" s="667"/>
      <c r="P50" s="682" t="s">
        <v>841</v>
      </c>
      <c r="Q50" s="683"/>
      <c r="R50" s="683"/>
      <c r="S50" s="683"/>
      <c r="T50" s="683"/>
      <c r="U50" s="683"/>
      <c r="V50" s="684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103"/>
      <c r="BR50" s="103"/>
      <c r="BS50" s="103"/>
      <c r="BT50" s="103"/>
      <c r="BU50" s="103"/>
      <c r="BV50" s="103"/>
      <c r="BW50" s="103"/>
      <c r="BX50" s="103"/>
      <c r="BY50" s="103"/>
      <c r="BZ50" s="103"/>
      <c r="CA50" s="103"/>
      <c r="CB50" s="103"/>
      <c r="CC50" s="103"/>
      <c r="CD50" s="103"/>
      <c r="CE50" s="103"/>
      <c r="CF50" s="103"/>
      <c r="CG50" s="103"/>
      <c r="CH50" s="103"/>
      <c r="CI50" s="103"/>
      <c r="CJ50" s="103"/>
      <c r="CK50" s="103"/>
      <c r="CL50" s="103"/>
      <c r="CM50" s="103"/>
      <c r="CN50" s="103"/>
      <c r="CO50" s="103"/>
      <c r="CP50" s="103"/>
      <c r="CQ50" s="103"/>
      <c r="CR50" s="103"/>
      <c r="CS50" s="103"/>
      <c r="CT50" s="103"/>
      <c r="CU50" s="103"/>
      <c r="CV50" s="103"/>
      <c r="CW50" s="103"/>
      <c r="CX50" s="103"/>
      <c r="CY50" s="103"/>
      <c r="CZ50" s="103"/>
      <c r="DA50" s="103"/>
      <c r="DB50" s="103"/>
      <c r="DC50" s="103"/>
      <c r="DD50" s="103"/>
      <c r="DE50" s="103"/>
      <c r="DF50" s="103"/>
      <c r="DG50" s="103"/>
      <c r="DH50" s="103"/>
      <c r="DI50" s="103"/>
      <c r="DJ50" s="103"/>
      <c r="DK50" s="103"/>
      <c r="DL50" s="103"/>
      <c r="DM50" s="103"/>
      <c r="DN50" s="103"/>
      <c r="DO50" s="103"/>
      <c r="DP50" s="103"/>
      <c r="DQ50" s="103"/>
      <c r="DR50" s="103"/>
      <c r="DS50" s="103"/>
      <c r="DT50" s="103"/>
      <c r="DU50" s="103"/>
      <c r="DV50" s="103"/>
      <c r="DW50" s="103"/>
      <c r="DX50" s="103"/>
      <c r="DY50" s="103"/>
      <c r="DZ50" s="103"/>
      <c r="EA50" s="103"/>
      <c r="EB50" s="103"/>
      <c r="EC50" s="103"/>
      <c r="ED50" s="103"/>
      <c r="EE50" s="103"/>
      <c r="EF50" s="103"/>
      <c r="EG50" s="103"/>
      <c r="EH50" s="103"/>
      <c r="EI50" s="103"/>
      <c r="EJ50" s="103"/>
      <c r="EK50" s="103"/>
      <c r="EL50" s="103"/>
      <c r="EM50" s="103"/>
      <c r="EN50" s="103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3"/>
      <c r="FO50" s="103"/>
      <c r="FP50" s="103"/>
      <c r="FQ50" s="103"/>
      <c r="FR50" s="103"/>
      <c r="FS50" s="103"/>
      <c r="FT50" s="103"/>
      <c r="FU50" s="103"/>
      <c r="FV50" s="103"/>
      <c r="FW50" s="103"/>
      <c r="FX50" s="103"/>
      <c r="FY50" s="103"/>
      <c r="FZ50" s="103"/>
      <c r="GA50" s="103"/>
      <c r="GB50" s="103"/>
      <c r="GC50" s="103"/>
      <c r="GD50" s="103"/>
      <c r="GE50" s="103"/>
      <c r="GF50" s="103"/>
      <c r="GG50" s="103"/>
      <c r="GH50" s="103"/>
      <c r="GI50" s="103"/>
      <c r="GJ50" s="103"/>
      <c r="GK50" s="103"/>
      <c r="GL50" s="103"/>
      <c r="GM50" s="103"/>
      <c r="GN50" s="103"/>
      <c r="GO50" s="103"/>
      <c r="GP50" s="103"/>
      <c r="GQ50" s="103"/>
      <c r="GR50" s="103"/>
      <c r="GS50" s="103"/>
      <c r="GT50" s="103"/>
      <c r="GU50" s="103"/>
      <c r="GV50" s="103"/>
      <c r="GW50" s="103"/>
      <c r="GX50" s="103"/>
      <c r="GY50" s="103"/>
      <c r="GZ50" s="103"/>
      <c r="HA50" s="103"/>
      <c r="HB50" s="103"/>
      <c r="HC50" s="103"/>
      <c r="HD50" s="103"/>
      <c r="HE50" s="103"/>
      <c r="HF50" s="103"/>
      <c r="HG50" s="103"/>
      <c r="HH50" s="103"/>
      <c r="HI50" s="103"/>
      <c r="HJ50" s="103"/>
      <c r="HK50" s="103"/>
      <c r="HL50" s="103"/>
      <c r="HM50" s="103"/>
      <c r="HN50" s="103"/>
      <c r="HO50" s="103"/>
      <c r="HP50" s="103"/>
      <c r="HQ50" s="103"/>
      <c r="HR50" s="103"/>
      <c r="HS50" s="103"/>
      <c r="HT50" s="103"/>
      <c r="HU50" s="103"/>
      <c r="HV50" s="103"/>
      <c r="HW50" s="103"/>
      <c r="HX50" s="103"/>
      <c r="HY50" s="103"/>
      <c r="HZ50" s="103"/>
      <c r="IA50" s="103"/>
      <c r="IB50" s="103"/>
      <c r="IC50" s="103"/>
      <c r="ID50" s="103"/>
      <c r="IE50" s="103"/>
      <c r="IF50" s="103"/>
      <c r="IG50" s="103"/>
      <c r="IH50" s="103"/>
      <c r="II50" s="103"/>
      <c r="IJ50" s="103"/>
      <c r="IK50" s="103"/>
      <c r="IL50" s="103"/>
      <c r="IM50" s="103"/>
      <c r="IN50" s="103"/>
      <c r="IO50" s="103"/>
      <c r="IP50" s="103"/>
      <c r="IQ50" s="103"/>
      <c r="IR50" s="103"/>
      <c r="IS50" s="103"/>
      <c r="IT50" s="103"/>
      <c r="IU50" s="103"/>
      <c r="IV50" s="103"/>
    </row>
    <row r="51" spans="1:256" ht="35.1" customHeight="1">
      <c r="A51" s="671" t="s">
        <v>113</v>
      </c>
      <c r="B51" s="671"/>
      <c r="C51" s="671"/>
      <c r="D51" s="685" t="s">
        <v>55</v>
      </c>
      <c r="E51" s="693"/>
      <c r="F51" s="693"/>
      <c r="G51" s="693"/>
      <c r="H51" s="693"/>
      <c r="I51" s="693"/>
      <c r="J51" s="693"/>
      <c r="K51" s="694"/>
      <c r="L51" s="665" t="s">
        <v>114</v>
      </c>
      <c r="M51" s="666"/>
      <c r="N51" s="666"/>
      <c r="O51" s="667"/>
      <c r="P51" s="686" t="s">
        <v>115</v>
      </c>
      <c r="Q51" s="666"/>
      <c r="R51" s="666"/>
      <c r="S51" s="666"/>
      <c r="T51" s="666"/>
      <c r="U51" s="666"/>
      <c r="V51" s="667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3"/>
      <c r="CF51" s="103"/>
      <c r="CG51" s="103"/>
      <c r="CH51" s="103"/>
      <c r="CI51" s="103"/>
      <c r="CJ51" s="103"/>
      <c r="CK51" s="103"/>
      <c r="CL51" s="103"/>
      <c r="CM51" s="103"/>
      <c r="CN51" s="103"/>
      <c r="CO51" s="103"/>
      <c r="CP51" s="103"/>
      <c r="CQ51" s="103"/>
      <c r="CR51" s="103"/>
      <c r="CS51" s="103"/>
      <c r="CT51" s="103"/>
      <c r="CU51" s="103"/>
      <c r="CV51" s="103"/>
      <c r="CW51" s="103"/>
      <c r="CX51" s="103"/>
      <c r="CY51" s="103"/>
      <c r="CZ51" s="103"/>
      <c r="DA51" s="103"/>
      <c r="DB51" s="103"/>
      <c r="DC51" s="103"/>
      <c r="DD51" s="103"/>
      <c r="DE51" s="103"/>
      <c r="DF51" s="103"/>
      <c r="DG51" s="103"/>
      <c r="DH51" s="103"/>
      <c r="DI51" s="103"/>
      <c r="DJ51" s="103"/>
      <c r="DK51" s="103"/>
      <c r="DL51" s="103"/>
      <c r="DM51" s="103"/>
      <c r="DN51" s="103"/>
      <c r="DO51" s="103"/>
      <c r="DP51" s="103"/>
      <c r="DQ51" s="103"/>
      <c r="DR51" s="103"/>
      <c r="DS51" s="103"/>
      <c r="DT51" s="103"/>
      <c r="DU51" s="103"/>
      <c r="DV51" s="103"/>
      <c r="DW51" s="103"/>
      <c r="DX51" s="103"/>
      <c r="DY51" s="103"/>
      <c r="DZ51" s="103"/>
      <c r="EA51" s="103"/>
      <c r="EB51" s="103"/>
      <c r="EC51" s="103"/>
      <c r="ED51" s="103"/>
      <c r="EE51" s="103"/>
      <c r="EF51" s="103"/>
      <c r="EG51" s="103"/>
      <c r="EH51" s="103"/>
      <c r="EI51" s="103"/>
      <c r="EJ51" s="103"/>
      <c r="EK51" s="103"/>
      <c r="EL51" s="103"/>
      <c r="EM51" s="103"/>
      <c r="EN51" s="103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3"/>
      <c r="FO51" s="103"/>
      <c r="FP51" s="103"/>
      <c r="FQ51" s="103"/>
      <c r="FR51" s="103"/>
      <c r="FS51" s="103"/>
      <c r="FT51" s="103"/>
      <c r="FU51" s="103"/>
      <c r="FV51" s="103"/>
      <c r="FW51" s="103"/>
      <c r="FX51" s="103"/>
      <c r="FY51" s="103"/>
      <c r="FZ51" s="103"/>
      <c r="GA51" s="103"/>
      <c r="GB51" s="103"/>
      <c r="GC51" s="103"/>
      <c r="GD51" s="103"/>
      <c r="GE51" s="103"/>
      <c r="GF51" s="103"/>
      <c r="GG51" s="103"/>
      <c r="GH51" s="103"/>
      <c r="GI51" s="103"/>
      <c r="GJ51" s="103"/>
      <c r="GK51" s="103"/>
      <c r="GL51" s="103"/>
      <c r="GM51" s="103"/>
      <c r="GN51" s="103"/>
      <c r="GO51" s="103"/>
      <c r="GP51" s="103"/>
      <c r="GQ51" s="103"/>
      <c r="GR51" s="103"/>
      <c r="GS51" s="103"/>
      <c r="GT51" s="103"/>
      <c r="GU51" s="103"/>
      <c r="GV51" s="103"/>
      <c r="GW51" s="103"/>
      <c r="GX51" s="103"/>
      <c r="GY51" s="103"/>
      <c r="GZ51" s="103"/>
      <c r="HA51" s="103"/>
      <c r="HB51" s="103"/>
      <c r="HC51" s="103"/>
      <c r="HD51" s="103"/>
      <c r="HE51" s="103"/>
      <c r="HF51" s="103"/>
      <c r="HG51" s="103"/>
      <c r="HH51" s="103"/>
      <c r="HI51" s="103"/>
      <c r="HJ51" s="103"/>
      <c r="HK51" s="103"/>
      <c r="HL51" s="103"/>
      <c r="HM51" s="103"/>
      <c r="HN51" s="103"/>
      <c r="HO51" s="103"/>
      <c r="HP51" s="103"/>
      <c r="HQ51" s="103"/>
      <c r="HR51" s="103"/>
      <c r="HS51" s="103"/>
      <c r="HT51" s="103"/>
      <c r="HU51" s="103"/>
      <c r="HV51" s="103"/>
      <c r="HW51" s="103"/>
      <c r="HX51" s="103"/>
      <c r="HY51" s="103"/>
      <c r="HZ51" s="103"/>
      <c r="IA51" s="103"/>
      <c r="IB51" s="103"/>
      <c r="IC51" s="103"/>
      <c r="ID51" s="103"/>
      <c r="IE51" s="103"/>
      <c r="IF51" s="103"/>
      <c r="IG51" s="103"/>
      <c r="IH51" s="103"/>
      <c r="II51" s="103"/>
      <c r="IJ51" s="103"/>
      <c r="IK51" s="103"/>
      <c r="IL51" s="103"/>
      <c r="IM51" s="103"/>
      <c r="IN51" s="103"/>
      <c r="IO51" s="103"/>
      <c r="IP51" s="103"/>
      <c r="IQ51" s="103"/>
      <c r="IR51" s="103"/>
      <c r="IS51" s="103"/>
      <c r="IT51" s="103"/>
      <c r="IU51" s="103"/>
      <c r="IV51" s="103"/>
    </row>
    <row r="52" spans="1:256" ht="35.1" customHeight="1">
      <c r="A52" s="105" t="s">
        <v>116</v>
      </c>
      <c r="B52" s="105"/>
      <c r="C52" s="105"/>
      <c r="D52" s="690" t="s">
        <v>842</v>
      </c>
      <c r="E52" s="691"/>
      <c r="F52" s="662" t="s">
        <v>117</v>
      </c>
      <c r="G52" s="663"/>
      <c r="H52" s="664"/>
      <c r="I52" s="662" t="s">
        <v>840</v>
      </c>
      <c r="J52" s="663"/>
      <c r="K52" s="664"/>
      <c r="L52" s="665" t="s">
        <v>118</v>
      </c>
      <c r="M52" s="666"/>
      <c r="N52" s="666"/>
      <c r="O52" s="667"/>
      <c r="P52" s="106" t="s">
        <v>119</v>
      </c>
      <c r="Q52" s="107" t="s">
        <v>120</v>
      </c>
      <c r="R52" s="668" t="s">
        <v>115</v>
      </c>
      <c r="S52" s="669"/>
      <c r="T52" s="669"/>
      <c r="U52" s="669"/>
      <c r="V52" s="670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3"/>
      <c r="BW52" s="103"/>
      <c r="BX52" s="103"/>
      <c r="BY52" s="103"/>
      <c r="BZ52" s="103"/>
      <c r="CA52" s="103"/>
      <c r="CB52" s="103"/>
      <c r="CC52" s="103"/>
      <c r="CD52" s="103"/>
      <c r="CE52" s="103"/>
      <c r="CF52" s="103"/>
      <c r="CG52" s="103"/>
      <c r="CH52" s="103"/>
      <c r="CI52" s="103"/>
      <c r="CJ52" s="103"/>
      <c r="CK52" s="103"/>
      <c r="CL52" s="103"/>
      <c r="CM52" s="103"/>
      <c r="CN52" s="103"/>
      <c r="CO52" s="103"/>
      <c r="CP52" s="103"/>
      <c r="CQ52" s="103"/>
      <c r="CR52" s="103"/>
      <c r="CS52" s="103"/>
      <c r="CT52" s="103"/>
      <c r="CU52" s="103"/>
      <c r="CV52" s="103"/>
      <c r="CW52" s="103"/>
      <c r="CX52" s="103"/>
      <c r="CY52" s="103"/>
      <c r="CZ52" s="103"/>
      <c r="DA52" s="103"/>
      <c r="DB52" s="103"/>
      <c r="DC52" s="103"/>
      <c r="DD52" s="103"/>
      <c r="DE52" s="103"/>
      <c r="DF52" s="103"/>
      <c r="DG52" s="103"/>
      <c r="DH52" s="103"/>
      <c r="DI52" s="103"/>
      <c r="DJ52" s="103"/>
      <c r="DK52" s="103"/>
      <c r="DL52" s="103"/>
      <c r="DM52" s="103"/>
      <c r="DN52" s="103"/>
      <c r="DO52" s="103"/>
      <c r="DP52" s="103"/>
      <c r="DQ52" s="103"/>
      <c r="DR52" s="103"/>
      <c r="DS52" s="103"/>
      <c r="DT52" s="103"/>
      <c r="DU52" s="103"/>
      <c r="DV52" s="103"/>
      <c r="DW52" s="103"/>
      <c r="DX52" s="103"/>
      <c r="DY52" s="103"/>
      <c r="DZ52" s="103"/>
      <c r="EA52" s="103"/>
      <c r="EB52" s="103"/>
      <c r="EC52" s="103"/>
      <c r="ED52" s="103"/>
      <c r="EE52" s="103"/>
      <c r="EF52" s="103"/>
      <c r="EG52" s="103"/>
      <c r="EH52" s="103"/>
      <c r="EI52" s="103"/>
      <c r="EJ52" s="103"/>
      <c r="EK52" s="103"/>
      <c r="EL52" s="103"/>
      <c r="EM52" s="103"/>
      <c r="EN52" s="103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3"/>
      <c r="FO52" s="103"/>
      <c r="FP52" s="103"/>
      <c r="FQ52" s="103"/>
      <c r="FR52" s="103"/>
      <c r="FS52" s="103"/>
      <c r="FT52" s="103"/>
      <c r="FU52" s="103"/>
      <c r="FV52" s="103"/>
      <c r="FW52" s="103"/>
      <c r="FX52" s="103"/>
      <c r="FY52" s="103"/>
      <c r="FZ52" s="103"/>
      <c r="GA52" s="103"/>
      <c r="GB52" s="103"/>
      <c r="GC52" s="103"/>
      <c r="GD52" s="103"/>
      <c r="GE52" s="103"/>
      <c r="GF52" s="103"/>
      <c r="GG52" s="103"/>
      <c r="GH52" s="103"/>
      <c r="GI52" s="103"/>
      <c r="GJ52" s="103"/>
      <c r="GK52" s="103"/>
      <c r="GL52" s="103"/>
      <c r="GM52" s="103"/>
      <c r="GN52" s="103"/>
      <c r="GO52" s="103"/>
      <c r="GP52" s="103"/>
      <c r="GQ52" s="103"/>
      <c r="GR52" s="103"/>
      <c r="GS52" s="103"/>
      <c r="GT52" s="103"/>
      <c r="GU52" s="103"/>
      <c r="GV52" s="103"/>
      <c r="GW52" s="103"/>
      <c r="GX52" s="103"/>
      <c r="GY52" s="103"/>
      <c r="GZ52" s="103"/>
      <c r="HA52" s="103"/>
      <c r="HB52" s="103"/>
      <c r="HC52" s="103"/>
      <c r="HD52" s="103"/>
      <c r="HE52" s="103"/>
      <c r="HF52" s="103"/>
      <c r="HG52" s="103"/>
      <c r="HH52" s="103"/>
      <c r="HI52" s="103"/>
      <c r="HJ52" s="103"/>
      <c r="HK52" s="103"/>
      <c r="HL52" s="103"/>
      <c r="HM52" s="103"/>
      <c r="HN52" s="103"/>
      <c r="HO52" s="103"/>
      <c r="HP52" s="103"/>
      <c r="HQ52" s="103"/>
      <c r="HR52" s="103"/>
      <c r="HS52" s="103"/>
      <c r="HT52" s="103"/>
      <c r="HU52" s="103"/>
      <c r="HV52" s="103"/>
      <c r="HW52" s="103"/>
      <c r="HX52" s="103"/>
      <c r="HY52" s="103"/>
      <c r="HZ52" s="103"/>
      <c r="IA52" s="103"/>
      <c r="IB52" s="103"/>
      <c r="IC52" s="103"/>
      <c r="ID52" s="103"/>
      <c r="IE52" s="103"/>
      <c r="IF52" s="103"/>
      <c r="IG52" s="103"/>
      <c r="IH52" s="103"/>
      <c r="II52" s="103"/>
      <c r="IJ52" s="103"/>
      <c r="IK52" s="103"/>
      <c r="IL52" s="103"/>
      <c r="IM52" s="103"/>
      <c r="IN52" s="103"/>
      <c r="IO52" s="103"/>
      <c r="IP52" s="103"/>
      <c r="IQ52" s="103"/>
      <c r="IR52" s="103"/>
      <c r="IS52" s="103"/>
      <c r="IT52" s="103"/>
      <c r="IU52" s="103"/>
      <c r="IV52" s="103"/>
    </row>
    <row r="53" spans="1:256" ht="35.1" customHeight="1">
      <c r="A53" s="671" t="s">
        <v>121</v>
      </c>
      <c r="B53" s="671"/>
      <c r="C53" s="672" t="s">
        <v>525</v>
      </c>
      <c r="D53" s="673"/>
      <c r="E53" s="673"/>
      <c r="F53" s="673"/>
      <c r="G53" s="673"/>
      <c r="H53" s="674"/>
      <c r="I53" s="675" t="s">
        <v>122</v>
      </c>
      <c r="J53" s="676"/>
      <c r="K53" s="677"/>
      <c r="L53" s="665" t="s">
        <v>123</v>
      </c>
      <c r="M53" s="666"/>
      <c r="N53" s="666"/>
      <c r="O53" s="667"/>
      <c r="P53" s="108"/>
      <c r="Q53" s="338" t="s">
        <v>124</v>
      </c>
      <c r="R53" s="678" t="s">
        <v>303</v>
      </c>
      <c r="S53" s="679"/>
      <c r="T53" s="679"/>
      <c r="U53" s="680"/>
      <c r="V53" s="109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3"/>
      <c r="BW53" s="103"/>
      <c r="BX53" s="103"/>
      <c r="BY53" s="103"/>
      <c r="BZ53" s="103"/>
      <c r="CA53" s="103"/>
      <c r="CB53" s="103"/>
      <c r="CC53" s="103"/>
      <c r="CD53" s="103"/>
      <c r="CE53" s="103"/>
      <c r="CF53" s="103"/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  <c r="CU53" s="103"/>
      <c r="CV53" s="103"/>
      <c r="CW53" s="103"/>
      <c r="CX53" s="103"/>
      <c r="CY53" s="103"/>
      <c r="CZ53" s="103"/>
      <c r="DA53" s="103"/>
      <c r="DB53" s="103"/>
      <c r="DC53" s="103"/>
      <c r="DD53" s="103"/>
      <c r="DE53" s="103"/>
      <c r="DF53" s="103"/>
      <c r="DG53" s="103"/>
      <c r="DH53" s="103"/>
      <c r="DI53" s="103"/>
      <c r="DJ53" s="103"/>
      <c r="DK53" s="103"/>
      <c r="DL53" s="103"/>
      <c r="DM53" s="103"/>
      <c r="DN53" s="103"/>
      <c r="DO53" s="103"/>
      <c r="DP53" s="103"/>
      <c r="DQ53" s="103"/>
      <c r="DR53" s="103"/>
      <c r="DS53" s="103"/>
      <c r="DT53" s="103"/>
      <c r="DU53" s="103"/>
      <c r="DV53" s="103"/>
      <c r="DW53" s="103"/>
      <c r="DX53" s="103"/>
      <c r="DY53" s="103"/>
      <c r="DZ53" s="103"/>
      <c r="EA53" s="103"/>
      <c r="EB53" s="103"/>
      <c r="EC53" s="103"/>
      <c r="ED53" s="103"/>
      <c r="EE53" s="103"/>
      <c r="EF53" s="103"/>
      <c r="EG53" s="103"/>
      <c r="EH53" s="103"/>
      <c r="EI53" s="103"/>
      <c r="EJ53" s="103"/>
      <c r="EK53" s="103"/>
      <c r="EL53" s="103"/>
      <c r="EM53" s="103"/>
      <c r="EN53" s="103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3"/>
      <c r="FO53" s="103"/>
      <c r="FP53" s="103"/>
      <c r="FQ53" s="103"/>
      <c r="FR53" s="103"/>
      <c r="FS53" s="103"/>
      <c r="FT53" s="103"/>
      <c r="FU53" s="103"/>
      <c r="FV53" s="103"/>
      <c r="FW53" s="103"/>
      <c r="FX53" s="103"/>
      <c r="FY53" s="103"/>
      <c r="FZ53" s="103"/>
      <c r="GA53" s="103"/>
      <c r="GB53" s="103"/>
      <c r="GC53" s="103"/>
      <c r="GD53" s="103"/>
      <c r="GE53" s="103"/>
      <c r="GF53" s="103"/>
      <c r="GG53" s="103"/>
      <c r="GH53" s="103"/>
      <c r="GI53" s="103"/>
      <c r="GJ53" s="103"/>
      <c r="GK53" s="103"/>
      <c r="GL53" s="103"/>
      <c r="GM53" s="103"/>
      <c r="GN53" s="103"/>
      <c r="GO53" s="103"/>
      <c r="GP53" s="103"/>
      <c r="GQ53" s="103"/>
      <c r="GR53" s="103"/>
      <c r="GS53" s="103"/>
      <c r="GT53" s="103"/>
      <c r="GU53" s="103"/>
      <c r="GV53" s="103"/>
      <c r="GW53" s="103"/>
      <c r="GX53" s="103"/>
      <c r="GY53" s="103"/>
      <c r="GZ53" s="103"/>
      <c r="HA53" s="103"/>
      <c r="HB53" s="103"/>
      <c r="HC53" s="103"/>
      <c r="HD53" s="103"/>
      <c r="HE53" s="103"/>
      <c r="HF53" s="103"/>
      <c r="HG53" s="103"/>
      <c r="HH53" s="103"/>
      <c r="HI53" s="103"/>
      <c r="HJ53" s="103"/>
      <c r="HK53" s="103"/>
      <c r="HL53" s="103"/>
      <c r="HM53" s="103"/>
      <c r="HN53" s="103"/>
      <c r="HO53" s="103"/>
      <c r="HP53" s="103"/>
      <c r="HQ53" s="103"/>
      <c r="HR53" s="103"/>
      <c r="HS53" s="103"/>
      <c r="HT53" s="103"/>
      <c r="HU53" s="103"/>
      <c r="HV53" s="103"/>
      <c r="HW53" s="103"/>
      <c r="HX53" s="103"/>
      <c r="HY53" s="103"/>
      <c r="HZ53" s="103"/>
      <c r="IA53" s="103"/>
      <c r="IB53" s="103"/>
      <c r="IC53" s="103"/>
      <c r="ID53" s="103"/>
      <c r="IE53" s="103"/>
      <c r="IF53" s="103"/>
      <c r="IG53" s="103"/>
      <c r="IH53" s="103"/>
      <c r="II53" s="103"/>
      <c r="IJ53" s="103"/>
      <c r="IK53" s="103"/>
      <c r="IL53" s="103"/>
      <c r="IM53" s="103"/>
      <c r="IN53" s="103"/>
      <c r="IO53" s="103"/>
      <c r="IP53" s="103"/>
      <c r="IQ53" s="103"/>
      <c r="IR53" s="103"/>
      <c r="IS53" s="103"/>
      <c r="IT53" s="103"/>
      <c r="IU53" s="103"/>
      <c r="IV53" s="103"/>
    </row>
    <row r="54" spans="1:256" ht="27.75" customHeight="1">
      <c r="A54" s="753" t="s">
        <v>126</v>
      </c>
      <c r="B54" s="734" t="s">
        <v>127</v>
      </c>
      <c r="C54" s="734" t="s">
        <v>9</v>
      </c>
      <c r="D54" s="734" t="s">
        <v>128</v>
      </c>
      <c r="E54" s="711" t="s">
        <v>129</v>
      </c>
      <c r="F54" s="745" t="s">
        <v>130</v>
      </c>
      <c r="G54" s="711" t="s">
        <v>131</v>
      </c>
      <c r="H54" s="762" t="s">
        <v>132</v>
      </c>
      <c r="I54" s="742" t="s">
        <v>133</v>
      </c>
      <c r="J54" s="734" t="s">
        <v>134</v>
      </c>
      <c r="K54" s="737" t="s">
        <v>135</v>
      </c>
      <c r="L54" s="734" t="s">
        <v>136</v>
      </c>
      <c r="M54" s="734" t="s">
        <v>137</v>
      </c>
      <c r="N54" s="734" t="s">
        <v>138</v>
      </c>
      <c r="O54" s="734" t="s">
        <v>139</v>
      </c>
      <c r="P54" s="737" t="s">
        <v>140</v>
      </c>
      <c r="Q54" s="711" t="s">
        <v>141</v>
      </c>
      <c r="R54" s="711" t="s">
        <v>142</v>
      </c>
      <c r="S54" s="711" t="s">
        <v>130</v>
      </c>
      <c r="T54" s="711" t="s">
        <v>134</v>
      </c>
      <c r="U54" s="711" t="s">
        <v>136</v>
      </c>
      <c r="V54" s="711" t="s">
        <v>139</v>
      </c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  <c r="CD54" s="110"/>
      <c r="CE54" s="110"/>
      <c r="CF54" s="110"/>
      <c r="CG54" s="110"/>
      <c r="CH54" s="110"/>
      <c r="CI54" s="110"/>
      <c r="CJ54" s="110"/>
      <c r="CK54" s="110"/>
      <c r="CL54" s="110"/>
      <c r="CM54" s="110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0"/>
      <c r="DA54" s="110"/>
      <c r="DB54" s="110"/>
      <c r="DC54" s="110"/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110"/>
      <c r="DO54" s="110"/>
      <c r="DP54" s="110"/>
      <c r="DQ54" s="110"/>
      <c r="DR54" s="110"/>
      <c r="DS54" s="110"/>
      <c r="DT54" s="110"/>
      <c r="DU54" s="110"/>
      <c r="DV54" s="110"/>
      <c r="DW54" s="110"/>
      <c r="DX54" s="110"/>
      <c r="DY54" s="110"/>
      <c r="DZ54" s="110"/>
      <c r="EA54" s="110"/>
      <c r="EB54" s="110"/>
      <c r="EC54" s="110"/>
      <c r="ED54" s="110"/>
      <c r="EE54" s="110"/>
      <c r="EF54" s="110"/>
      <c r="EG54" s="110"/>
      <c r="EH54" s="110"/>
      <c r="EI54" s="110"/>
      <c r="EJ54" s="110"/>
      <c r="EK54" s="110"/>
      <c r="EL54" s="110"/>
      <c r="EM54" s="110"/>
      <c r="EN54" s="110"/>
      <c r="EO54" s="110"/>
      <c r="EP54" s="110"/>
      <c r="EQ54" s="110"/>
      <c r="ER54" s="110"/>
      <c r="ES54" s="110"/>
      <c r="ET54" s="110"/>
      <c r="EU54" s="110"/>
      <c r="EV54" s="110"/>
      <c r="EW54" s="110"/>
      <c r="EX54" s="110"/>
      <c r="EY54" s="110"/>
      <c r="EZ54" s="110"/>
      <c r="FA54" s="110"/>
      <c r="FB54" s="110"/>
      <c r="FC54" s="110"/>
      <c r="FD54" s="110"/>
      <c r="FE54" s="110"/>
      <c r="FF54" s="110"/>
      <c r="FG54" s="110"/>
      <c r="FH54" s="110"/>
      <c r="FI54" s="110"/>
      <c r="FJ54" s="110"/>
      <c r="FK54" s="110"/>
      <c r="FL54" s="110"/>
      <c r="FM54" s="110"/>
      <c r="FN54" s="110"/>
      <c r="FO54" s="110"/>
      <c r="FP54" s="110"/>
      <c r="FQ54" s="110"/>
      <c r="FR54" s="110"/>
      <c r="FS54" s="110"/>
      <c r="FT54" s="110"/>
      <c r="FU54" s="110"/>
      <c r="FV54" s="110"/>
      <c r="FW54" s="110"/>
      <c r="FX54" s="110"/>
      <c r="FY54" s="110"/>
      <c r="FZ54" s="110"/>
      <c r="GA54" s="110"/>
      <c r="GB54" s="110"/>
      <c r="GC54" s="110"/>
      <c r="GD54" s="110"/>
      <c r="GE54" s="110"/>
      <c r="GF54" s="110"/>
      <c r="GG54" s="110"/>
      <c r="GH54" s="110"/>
      <c r="GI54" s="110"/>
      <c r="GJ54" s="110"/>
      <c r="GK54" s="110"/>
      <c r="GL54" s="110"/>
      <c r="GM54" s="110"/>
      <c r="GN54" s="110"/>
      <c r="GO54" s="110"/>
      <c r="GP54" s="110"/>
      <c r="GQ54" s="110"/>
      <c r="GR54" s="110"/>
      <c r="GS54" s="110"/>
      <c r="GT54" s="110"/>
      <c r="GU54" s="110"/>
      <c r="GV54" s="110"/>
      <c r="GW54" s="110"/>
      <c r="GX54" s="110"/>
      <c r="GY54" s="110"/>
      <c r="GZ54" s="110"/>
      <c r="HA54" s="110"/>
      <c r="HB54" s="110"/>
      <c r="HC54" s="110"/>
      <c r="HD54" s="110"/>
      <c r="HE54" s="110"/>
      <c r="HF54" s="110"/>
      <c r="HG54" s="110"/>
      <c r="HH54" s="110"/>
      <c r="HI54" s="110"/>
      <c r="HJ54" s="110"/>
      <c r="HK54" s="110"/>
      <c r="HL54" s="110"/>
      <c r="HM54" s="110"/>
      <c r="HN54" s="110"/>
      <c r="HO54" s="110"/>
      <c r="HP54" s="110"/>
      <c r="HQ54" s="110"/>
      <c r="HR54" s="110"/>
      <c r="HS54" s="110"/>
      <c r="HT54" s="110"/>
      <c r="HU54" s="110"/>
      <c r="HV54" s="110"/>
      <c r="HW54" s="110"/>
      <c r="HX54" s="110"/>
      <c r="HY54" s="110"/>
      <c r="HZ54" s="110"/>
      <c r="IA54" s="110"/>
      <c r="IB54" s="110"/>
      <c r="IC54" s="110"/>
      <c r="ID54" s="110"/>
      <c r="IE54" s="110"/>
      <c r="IF54" s="110"/>
      <c r="IG54" s="110"/>
      <c r="IH54" s="110"/>
      <c r="II54" s="110"/>
      <c r="IJ54" s="110"/>
      <c r="IK54" s="110"/>
      <c r="IL54" s="110"/>
      <c r="IM54" s="110"/>
      <c r="IN54" s="110"/>
      <c r="IO54" s="110"/>
      <c r="IP54" s="110"/>
      <c r="IQ54" s="110"/>
      <c r="IR54" s="110"/>
      <c r="IS54" s="110"/>
      <c r="IT54" s="110"/>
      <c r="IU54" s="110"/>
      <c r="IV54" s="110"/>
    </row>
    <row r="55" spans="1:256" ht="27.75" customHeight="1">
      <c r="A55" s="754"/>
      <c r="B55" s="735"/>
      <c r="C55" s="735"/>
      <c r="D55" s="773"/>
      <c r="E55" s="714"/>
      <c r="F55" s="746"/>
      <c r="G55" s="714"/>
      <c r="H55" s="763"/>
      <c r="I55" s="765"/>
      <c r="J55" s="735"/>
      <c r="K55" s="738"/>
      <c r="L55" s="771"/>
      <c r="M55" s="735"/>
      <c r="N55" s="735"/>
      <c r="O55" s="735"/>
      <c r="P55" s="738"/>
      <c r="Q55" s="714"/>
      <c r="R55" s="714"/>
      <c r="S55" s="714"/>
      <c r="T55" s="714"/>
      <c r="U55" s="714"/>
      <c r="V55" s="714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  <c r="CD55" s="110"/>
      <c r="CE55" s="110"/>
      <c r="CF55" s="110"/>
      <c r="CG55" s="110"/>
      <c r="CH55" s="110"/>
      <c r="CI55" s="110"/>
      <c r="CJ55" s="110"/>
      <c r="CK55" s="110"/>
      <c r="CL55" s="110"/>
      <c r="CM55" s="110"/>
      <c r="CN55" s="110"/>
      <c r="CO55" s="110"/>
      <c r="CP55" s="110"/>
      <c r="CQ55" s="110"/>
      <c r="CR55" s="110"/>
      <c r="CS55" s="110"/>
      <c r="CT55" s="110"/>
      <c r="CU55" s="110"/>
      <c r="CV55" s="110"/>
      <c r="CW55" s="110"/>
      <c r="CX55" s="110"/>
      <c r="CY55" s="110"/>
      <c r="CZ55" s="110"/>
      <c r="DA55" s="110"/>
      <c r="DB55" s="110"/>
      <c r="DC55" s="110"/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110"/>
      <c r="DO55" s="110"/>
      <c r="DP55" s="110"/>
      <c r="DQ55" s="110"/>
      <c r="DR55" s="110"/>
      <c r="DS55" s="110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10"/>
      <c r="EG55" s="110"/>
      <c r="EH55" s="110"/>
      <c r="EI55" s="110"/>
      <c r="EJ55" s="110"/>
      <c r="EK55" s="110"/>
      <c r="EL55" s="110"/>
      <c r="EM55" s="110"/>
      <c r="EN55" s="110"/>
      <c r="EO55" s="110"/>
      <c r="EP55" s="110"/>
      <c r="EQ55" s="110"/>
      <c r="ER55" s="110"/>
      <c r="ES55" s="110"/>
      <c r="ET55" s="110"/>
      <c r="EU55" s="110"/>
      <c r="EV55" s="110"/>
      <c r="EW55" s="110"/>
      <c r="EX55" s="110"/>
      <c r="EY55" s="110"/>
      <c r="EZ55" s="110"/>
      <c r="FA55" s="110"/>
      <c r="FB55" s="110"/>
      <c r="FC55" s="110"/>
      <c r="FD55" s="110"/>
      <c r="FE55" s="110"/>
      <c r="FF55" s="110"/>
      <c r="FG55" s="110"/>
      <c r="FH55" s="110"/>
      <c r="FI55" s="110"/>
      <c r="FJ55" s="110"/>
      <c r="FK55" s="110"/>
      <c r="FL55" s="110"/>
      <c r="FM55" s="110"/>
      <c r="FN55" s="110"/>
      <c r="FO55" s="110"/>
      <c r="FP55" s="110"/>
      <c r="FQ55" s="110"/>
      <c r="FR55" s="110"/>
      <c r="FS55" s="110"/>
      <c r="FT55" s="110"/>
      <c r="FU55" s="110"/>
      <c r="FV55" s="110"/>
      <c r="FW55" s="110"/>
      <c r="FX55" s="110"/>
      <c r="FY55" s="110"/>
      <c r="FZ55" s="110"/>
      <c r="GA55" s="110"/>
      <c r="GB55" s="110"/>
      <c r="GC55" s="110"/>
      <c r="GD55" s="110"/>
      <c r="GE55" s="110"/>
      <c r="GF55" s="110"/>
      <c r="GG55" s="110"/>
      <c r="GH55" s="110"/>
      <c r="GI55" s="110"/>
      <c r="GJ55" s="110"/>
      <c r="GK55" s="110"/>
      <c r="GL55" s="110"/>
      <c r="GM55" s="110"/>
      <c r="GN55" s="110"/>
      <c r="GO55" s="110"/>
      <c r="GP55" s="110"/>
      <c r="GQ55" s="110"/>
      <c r="GR55" s="110"/>
      <c r="GS55" s="110"/>
      <c r="GT55" s="110"/>
      <c r="GU55" s="110"/>
      <c r="GV55" s="110"/>
      <c r="GW55" s="110"/>
      <c r="GX55" s="110"/>
      <c r="GY55" s="110"/>
      <c r="GZ55" s="110"/>
      <c r="HA55" s="110"/>
      <c r="HB55" s="110"/>
      <c r="HC55" s="110"/>
      <c r="HD55" s="110"/>
      <c r="HE55" s="110"/>
      <c r="HF55" s="110"/>
      <c r="HG55" s="110"/>
      <c r="HH55" s="110"/>
      <c r="HI55" s="110"/>
      <c r="HJ55" s="110"/>
      <c r="HK55" s="110"/>
      <c r="HL55" s="110"/>
      <c r="HM55" s="110"/>
      <c r="HN55" s="110"/>
      <c r="HO55" s="110"/>
      <c r="HP55" s="110"/>
      <c r="HQ55" s="110"/>
      <c r="HR55" s="110"/>
      <c r="HS55" s="110"/>
      <c r="HT55" s="110"/>
      <c r="HU55" s="110"/>
      <c r="HV55" s="110"/>
      <c r="HW55" s="110"/>
      <c r="HX55" s="110"/>
      <c r="HY55" s="110"/>
      <c r="HZ55" s="110"/>
      <c r="IA55" s="110"/>
      <c r="IB55" s="110"/>
      <c r="IC55" s="110"/>
      <c r="ID55" s="110"/>
      <c r="IE55" s="110"/>
      <c r="IF55" s="110"/>
      <c r="IG55" s="110"/>
      <c r="IH55" s="110"/>
      <c r="II55" s="110"/>
      <c r="IJ55" s="110"/>
      <c r="IK55" s="110"/>
      <c r="IL55" s="110"/>
      <c r="IM55" s="110"/>
      <c r="IN55" s="110"/>
      <c r="IO55" s="110"/>
      <c r="IP55" s="110"/>
      <c r="IQ55" s="110"/>
      <c r="IR55" s="110"/>
      <c r="IS55" s="110"/>
      <c r="IT55" s="110"/>
      <c r="IU55" s="110"/>
      <c r="IV55" s="110"/>
    </row>
    <row r="56" spans="1:256" ht="27.75" customHeight="1">
      <c r="A56" s="754"/>
      <c r="B56" s="735"/>
      <c r="C56" s="735"/>
      <c r="D56" s="773"/>
      <c r="E56" s="714"/>
      <c r="F56" s="746"/>
      <c r="G56" s="714"/>
      <c r="H56" s="763"/>
      <c r="I56" s="765"/>
      <c r="J56" s="735"/>
      <c r="K56" s="738"/>
      <c r="L56" s="771"/>
      <c r="M56" s="735"/>
      <c r="N56" s="735"/>
      <c r="O56" s="735"/>
      <c r="P56" s="738"/>
      <c r="Q56" s="714"/>
      <c r="R56" s="714"/>
      <c r="S56" s="714"/>
      <c r="T56" s="714"/>
      <c r="U56" s="714"/>
      <c r="V56" s="714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110"/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110"/>
      <c r="DB56" s="110"/>
      <c r="DC56" s="110"/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110"/>
      <c r="DO56" s="110"/>
      <c r="DP56" s="110"/>
      <c r="DQ56" s="110"/>
      <c r="DR56" s="110"/>
      <c r="DS56" s="110"/>
      <c r="DT56" s="110"/>
      <c r="DU56" s="110"/>
      <c r="DV56" s="110"/>
      <c r="DW56" s="110"/>
      <c r="DX56" s="110"/>
      <c r="DY56" s="110"/>
      <c r="DZ56" s="110"/>
      <c r="EA56" s="110"/>
      <c r="EB56" s="110"/>
      <c r="EC56" s="110"/>
      <c r="ED56" s="110"/>
      <c r="EE56" s="110"/>
      <c r="EF56" s="110"/>
      <c r="EG56" s="110"/>
      <c r="EH56" s="110"/>
      <c r="EI56" s="110"/>
      <c r="EJ56" s="110"/>
      <c r="EK56" s="110"/>
      <c r="EL56" s="110"/>
      <c r="EM56" s="110"/>
      <c r="EN56" s="110"/>
      <c r="EO56" s="110"/>
      <c r="EP56" s="110"/>
      <c r="EQ56" s="110"/>
      <c r="ER56" s="110"/>
      <c r="ES56" s="110"/>
      <c r="ET56" s="110"/>
      <c r="EU56" s="110"/>
      <c r="EV56" s="110"/>
      <c r="EW56" s="110"/>
      <c r="EX56" s="110"/>
      <c r="EY56" s="110"/>
      <c r="EZ56" s="110"/>
      <c r="FA56" s="110"/>
      <c r="FB56" s="110"/>
      <c r="FC56" s="110"/>
      <c r="FD56" s="110"/>
      <c r="FE56" s="110"/>
      <c r="FF56" s="110"/>
      <c r="FG56" s="110"/>
      <c r="FH56" s="110"/>
      <c r="FI56" s="110"/>
      <c r="FJ56" s="110"/>
      <c r="FK56" s="110"/>
      <c r="FL56" s="110"/>
      <c r="FM56" s="110"/>
      <c r="FN56" s="110"/>
      <c r="FO56" s="110"/>
      <c r="FP56" s="110"/>
      <c r="FQ56" s="110"/>
      <c r="FR56" s="110"/>
      <c r="FS56" s="110"/>
      <c r="FT56" s="110"/>
      <c r="FU56" s="110"/>
      <c r="FV56" s="110"/>
      <c r="FW56" s="110"/>
      <c r="FX56" s="110"/>
      <c r="FY56" s="110"/>
      <c r="FZ56" s="110"/>
      <c r="GA56" s="110"/>
      <c r="GB56" s="110"/>
      <c r="GC56" s="110"/>
      <c r="GD56" s="110"/>
      <c r="GE56" s="110"/>
      <c r="GF56" s="110"/>
      <c r="GG56" s="110"/>
      <c r="GH56" s="110"/>
      <c r="GI56" s="110"/>
      <c r="GJ56" s="110"/>
      <c r="GK56" s="110"/>
      <c r="GL56" s="110"/>
      <c r="GM56" s="110"/>
      <c r="GN56" s="110"/>
      <c r="GO56" s="110"/>
      <c r="GP56" s="110"/>
      <c r="GQ56" s="110"/>
      <c r="GR56" s="110"/>
      <c r="GS56" s="110"/>
      <c r="GT56" s="110"/>
      <c r="GU56" s="110"/>
      <c r="GV56" s="110"/>
      <c r="GW56" s="110"/>
      <c r="GX56" s="110"/>
      <c r="GY56" s="110"/>
      <c r="GZ56" s="110"/>
      <c r="HA56" s="110"/>
      <c r="HB56" s="110"/>
      <c r="HC56" s="110"/>
      <c r="HD56" s="110"/>
      <c r="HE56" s="110"/>
      <c r="HF56" s="110"/>
      <c r="HG56" s="110"/>
      <c r="HH56" s="110"/>
      <c r="HI56" s="110"/>
      <c r="HJ56" s="110"/>
      <c r="HK56" s="110"/>
      <c r="HL56" s="110"/>
      <c r="HM56" s="110"/>
      <c r="HN56" s="110"/>
      <c r="HO56" s="110"/>
      <c r="HP56" s="110"/>
      <c r="HQ56" s="110"/>
      <c r="HR56" s="110"/>
      <c r="HS56" s="110"/>
      <c r="HT56" s="110"/>
      <c r="HU56" s="110"/>
      <c r="HV56" s="110"/>
      <c r="HW56" s="110"/>
      <c r="HX56" s="110"/>
      <c r="HY56" s="110"/>
      <c r="HZ56" s="110"/>
      <c r="IA56" s="110"/>
      <c r="IB56" s="110"/>
      <c r="IC56" s="110"/>
      <c r="ID56" s="110"/>
      <c r="IE56" s="110"/>
      <c r="IF56" s="110"/>
      <c r="IG56" s="110"/>
      <c r="IH56" s="110"/>
      <c r="II56" s="110"/>
      <c r="IJ56" s="110"/>
      <c r="IK56" s="110"/>
      <c r="IL56" s="110"/>
      <c r="IM56" s="110"/>
      <c r="IN56" s="110"/>
      <c r="IO56" s="110"/>
      <c r="IP56" s="110"/>
      <c r="IQ56" s="110"/>
      <c r="IR56" s="110"/>
      <c r="IS56" s="110"/>
      <c r="IT56" s="110"/>
      <c r="IU56" s="110"/>
      <c r="IV56" s="110"/>
    </row>
    <row r="57" spans="1:256" ht="27.75" customHeight="1">
      <c r="A57" s="755"/>
      <c r="B57" s="736"/>
      <c r="C57" s="736"/>
      <c r="D57" s="774"/>
      <c r="E57" s="717"/>
      <c r="F57" s="747"/>
      <c r="G57" s="717"/>
      <c r="H57" s="764"/>
      <c r="I57" s="766"/>
      <c r="J57" s="736"/>
      <c r="K57" s="739"/>
      <c r="L57" s="772"/>
      <c r="M57" s="736"/>
      <c r="N57" s="736"/>
      <c r="O57" s="736"/>
      <c r="P57" s="739"/>
      <c r="Q57" s="717"/>
      <c r="R57" s="717"/>
      <c r="S57" s="717"/>
      <c r="T57" s="717"/>
      <c r="U57" s="717"/>
      <c r="V57" s="717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110"/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110"/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110"/>
      <c r="ES57" s="110"/>
      <c r="ET57" s="110"/>
      <c r="EU57" s="110"/>
      <c r="EV57" s="110"/>
      <c r="EW57" s="110"/>
      <c r="EX57" s="110"/>
      <c r="EY57" s="110"/>
      <c r="EZ57" s="110"/>
      <c r="FA57" s="110"/>
      <c r="FB57" s="110"/>
      <c r="FC57" s="110"/>
      <c r="FD57" s="110"/>
      <c r="FE57" s="110"/>
      <c r="FF57" s="110"/>
      <c r="FG57" s="110"/>
      <c r="FH57" s="110"/>
      <c r="FI57" s="110"/>
      <c r="FJ57" s="110"/>
      <c r="FK57" s="110"/>
      <c r="FL57" s="110"/>
      <c r="FM57" s="110"/>
      <c r="FN57" s="110"/>
      <c r="FO57" s="110"/>
      <c r="FP57" s="110"/>
      <c r="FQ57" s="110"/>
      <c r="FR57" s="110"/>
      <c r="FS57" s="110"/>
      <c r="FT57" s="110"/>
      <c r="FU57" s="110"/>
      <c r="FV57" s="110"/>
      <c r="FW57" s="110"/>
      <c r="FX57" s="110"/>
      <c r="FY57" s="110"/>
      <c r="FZ57" s="110"/>
      <c r="GA57" s="110"/>
      <c r="GB57" s="110"/>
      <c r="GC57" s="110"/>
      <c r="GD57" s="110"/>
      <c r="GE57" s="110"/>
      <c r="GF57" s="110"/>
      <c r="GG57" s="110"/>
      <c r="GH57" s="110"/>
      <c r="GI57" s="110"/>
      <c r="GJ57" s="110"/>
      <c r="GK57" s="110"/>
      <c r="GL57" s="110"/>
      <c r="GM57" s="110"/>
      <c r="GN57" s="110"/>
      <c r="GO57" s="110"/>
      <c r="GP57" s="110"/>
      <c r="GQ57" s="110"/>
      <c r="GR57" s="110"/>
      <c r="GS57" s="110"/>
      <c r="GT57" s="110"/>
      <c r="GU57" s="110"/>
      <c r="GV57" s="110"/>
      <c r="GW57" s="110"/>
      <c r="GX57" s="110"/>
      <c r="GY57" s="110"/>
      <c r="GZ57" s="110"/>
      <c r="HA57" s="110"/>
      <c r="HB57" s="110"/>
      <c r="HC57" s="110"/>
      <c r="HD57" s="110"/>
      <c r="HE57" s="110"/>
      <c r="HF57" s="110"/>
      <c r="HG57" s="110"/>
      <c r="HH57" s="110"/>
      <c r="HI57" s="110"/>
      <c r="HJ57" s="110"/>
      <c r="HK57" s="110"/>
      <c r="HL57" s="110"/>
      <c r="HM57" s="110"/>
      <c r="HN57" s="110"/>
      <c r="HO57" s="110"/>
      <c r="HP57" s="110"/>
      <c r="HQ57" s="110"/>
      <c r="HR57" s="110"/>
      <c r="HS57" s="110"/>
      <c r="HT57" s="110"/>
      <c r="HU57" s="110"/>
      <c r="HV57" s="110"/>
      <c r="HW57" s="110"/>
      <c r="HX57" s="110"/>
      <c r="HY57" s="110"/>
      <c r="HZ57" s="110"/>
      <c r="IA57" s="110"/>
      <c r="IB57" s="110"/>
      <c r="IC57" s="110"/>
      <c r="ID57" s="110"/>
      <c r="IE57" s="110"/>
      <c r="IF57" s="110"/>
      <c r="IG57" s="110"/>
      <c r="IH57" s="110"/>
      <c r="II57" s="110"/>
      <c r="IJ57" s="110"/>
      <c r="IK57" s="110"/>
      <c r="IL57" s="110"/>
      <c r="IM57" s="110"/>
      <c r="IN57" s="110"/>
      <c r="IO57" s="110"/>
      <c r="IP57" s="110"/>
      <c r="IQ57" s="110"/>
      <c r="IR57" s="110"/>
      <c r="IS57" s="110"/>
      <c r="IT57" s="110"/>
      <c r="IU57" s="110"/>
      <c r="IV57" s="110"/>
    </row>
    <row r="58" spans="1:256" s="356" customFormat="1" ht="135">
      <c r="A58" s="767" t="s">
        <v>171</v>
      </c>
      <c r="B58" s="769" t="s">
        <v>571</v>
      </c>
      <c r="C58" s="347" t="s">
        <v>554</v>
      </c>
      <c r="D58" s="348" t="s">
        <v>555</v>
      </c>
      <c r="E58" s="348" t="s">
        <v>556</v>
      </c>
      <c r="F58" s="349">
        <v>6</v>
      </c>
      <c r="G58" s="349"/>
      <c r="H58" s="350" t="s">
        <v>557</v>
      </c>
      <c r="I58" s="351" t="s">
        <v>558</v>
      </c>
      <c r="J58" s="349">
        <v>2</v>
      </c>
      <c r="K58" s="352" t="s">
        <v>559</v>
      </c>
      <c r="L58" s="353">
        <v>6</v>
      </c>
      <c r="M58" s="353">
        <v>626</v>
      </c>
      <c r="N58" s="354">
        <v>26</v>
      </c>
      <c r="O58" s="353">
        <f>F58*J58*L58</f>
        <v>72</v>
      </c>
      <c r="P58" s="117" t="s">
        <v>55</v>
      </c>
      <c r="Q58" s="118" t="s">
        <v>55</v>
      </c>
      <c r="R58" s="118" t="s">
        <v>55</v>
      </c>
      <c r="S58" s="118" t="s">
        <v>55</v>
      </c>
      <c r="T58" s="118" t="s">
        <v>55</v>
      </c>
      <c r="U58" s="118" t="s">
        <v>55</v>
      </c>
      <c r="V58" s="355"/>
    </row>
    <row r="59" spans="1:256" s="356" customFormat="1" ht="120.75" customHeight="1">
      <c r="A59" s="768"/>
      <c r="B59" s="770"/>
      <c r="C59" s="347" t="s">
        <v>560</v>
      </c>
      <c r="D59" s="351" t="s">
        <v>561</v>
      </c>
      <c r="E59" s="348" t="s">
        <v>562</v>
      </c>
      <c r="F59" s="353">
        <v>5</v>
      </c>
      <c r="G59" s="353"/>
      <c r="H59" s="350" t="s">
        <v>563</v>
      </c>
      <c r="I59" s="351" t="s">
        <v>564</v>
      </c>
      <c r="J59" s="349">
        <v>2</v>
      </c>
      <c r="K59" s="352" t="s">
        <v>565</v>
      </c>
      <c r="L59" s="353">
        <v>6</v>
      </c>
      <c r="M59" s="353">
        <v>526</v>
      </c>
      <c r="N59" s="354">
        <v>26</v>
      </c>
      <c r="O59" s="353">
        <f t="shared" ref="O59:O60" si="1">F59*J59*L59</f>
        <v>60</v>
      </c>
      <c r="P59" s="117" t="s">
        <v>55</v>
      </c>
      <c r="Q59" s="118" t="s">
        <v>55</v>
      </c>
      <c r="R59" s="118" t="s">
        <v>55</v>
      </c>
      <c r="S59" s="118" t="s">
        <v>55</v>
      </c>
      <c r="T59" s="118" t="s">
        <v>55</v>
      </c>
      <c r="U59" s="118" t="s">
        <v>55</v>
      </c>
      <c r="V59" s="355"/>
    </row>
    <row r="60" spans="1:256" s="356" customFormat="1" ht="150" customHeight="1" thickBot="1">
      <c r="A60" s="768"/>
      <c r="B60" s="770"/>
      <c r="C60" s="524" t="s">
        <v>772</v>
      </c>
      <c r="D60" s="529" t="s">
        <v>567</v>
      </c>
      <c r="E60" s="530" t="s">
        <v>562</v>
      </c>
      <c r="F60" s="531">
        <v>4</v>
      </c>
      <c r="G60" s="532"/>
      <c r="H60" s="533" t="s">
        <v>568</v>
      </c>
      <c r="I60" s="534" t="s">
        <v>569</v>
      </c>
      <c r="J60" s="535">
        <v>2</v>
      </c>
      <c r="K60" s="536" t="s">
        <v>570</v>
      </c>
      <c r="L60" s="535">
        <v>6</v>
      </c>
      <c r="M60" s="535">
        <v>426</v>
      </c>
      <c r="N60" s="535">
        <v>26</v>
      </c>
      <c r="O60" s="531">
        <f t="shared" si="1"/>
        <v>48</v>
      </c>
      <c r="P60" s="537" t="s">
        <v>55</v>
      </c>
      <c r="Q60" s="538" t="s">
        <v>55</v>
      </c>
      <c r="R60" s="538" t="s">
        <v>55</v>
      </c>
      <c r="S60" s="538" t="s">
        <v>55</v>
      </c>
      <c r="T60" s="538" t="s">
        <v>55</v>
      </c>
      <c r="U60" s="538" t="s">
        <v>55</v>
      </c>
      <c r="V60" s="539"/>
    </row>
    <row r="61" spans="1:256" s="119" customFormat="1" ht="27.75" customHeight="1">
      <c r="A61" s="779" t="s">
        <v>103</v>
      </c>
      <c r="B61" s="780"/>
      <c r="C61" s="780"/>
      <c r="D61" s="780"/>
      <c r="E61" s="781"/>
      <c r="F61" s="784" t="s">
        <v>104</v>
      </c>
      <c r="G61" s="785"/>
      <c r="H61" s="785"/>
      <c r="I61" s="785"/>
      <c r="J61" s="785"/>
      <c r="K61" s="785"/>
      <c r="L61" s="785"/>
      <c r="M61" s="785"/>
      <c r="N61" s="785"/>
      <c r="O61" s="786"/>
      <c r="P61" s="728" t="s">
        <v>105</v>
      </c>
      <c r="Q61" s="729"/>
      <c r="R61" s="729"/>
      <c r="S61" s="729"/>
      <c r="T61" s="729"/>
      <c r="U61" s="729"/>
      <c r="V61" s="730"/>
    </row>
    <row r="62" spans="1:256" s="119" customFormat="1" ht="27.75" customHeight="1">
      <c r="A62" s="782"/>
      <c r="B62" s="704"/>
      <c r="C62" s="704"/>
      <c r="D62" s="704"/>
      <c r="E62" s="705"/>
      <c r="F62" s="712"/>
      <c r="G62" s="713"/>
      <c r="H62" s="713"/>
      <c r="I62" s="713"/>
      <c r="J62" s="713"/>
      <c r="K62" s="713"/>
      <c r="L62" s="713"/>
      <c r="M62" s="713"/>
      <c r="N62" s="713"/>
      <c r="O62" s="714"/>
      <c r="P62" s="662" t="s">
        <v>106</v>
      </c>
      <c r="Q62" s="731"/>
      <c r="R62" s="731"/>
      <c r="S62" s="731"/>
      <c r="T62" s="731"/>
      <c r="U62" s="731"/>
      <c r="V62" s="732"/>
    </row>
    <row r="63" spans="1:256" s="119" customFormat="1" ht="27.75" customHeight="1">
      <c r="A63" s="783"/>
      <c r="B63" s="707"/>
      <c r="C63" s="707"/>
      <c r="D63" s="707"/>
      <c r="E63" s="708"/>
      <c r="F63" s="715"/>
      <c r="G63" s="716"/>
      <c r="H63" s="716"/>
      <c r="I63" s="716"/>
      <c r="J63" s="716"/>
      <c r="K63" s="716"/>
      <c r="L63" s="716"/>
      <c r="M63" s="716"/>
      <c r="N63" s="716"/>
      <c r="O63" s="717"/>
      <c r="P63" s="662" t="s">
        <v>107</v>
      </c>
      <c r="Q63" s="731"/>
      <c r="R63" s="731"/>
      <c r="S63" s="731"/>
      <c r="T63" s="731"/>
      <c r="U63" s="731"/>
      <c r="V63" s="732"/>
    </row>
    <row r="64" spans="1:256" s="119" customFormat="1" ht="38.25" customHeight="1">
      <c r="A64" s="671" t="s">
        <v>108</v>
      </c>
      <c r="B64" s="671"/>
      <c r="C64" s="672" t="s">
        <v>839</v>
      </c>
      <c r="D64" s="673"/>
      <c r="E64" s="674"/>
      <c r="F64" s="662" t="s">
        <v>109</v>
      </c>
      <c r="G64" s="664"/>
      <c r="H64" s="692">
        <v>215331700141</v>
      </c>
      <c r="I64" s="693"/>
      <c r="J64" s="693"/>
      <c r="K64" s="694"/>
      <c r="L64" s="665" t="s">
        <v>110</v>
      </c>
      <c r="M64" s="666"/>
      <c r="N64" s="695"/>
      <c r="O64" s="696"/>
      <c r="P64" s="662" t="s">
        <v>847</v>
      </c>
      <c r="Q64" s="663"/>
      <c r="R64" s="663"/>
      <c r="S64" s="663"/>
      <c r="T64" s="663"/>
      <c r="U64" s="663"/>
      <c r="V64" s="664"/>
    </row>
    <row r="65" spans="1:22" s="119" customFormat="1" ht="30" customHeight="1">
      <c r="A65" s="671" t="s">
        <v>111</v>
      </c>
      <c r="B65" s="671"/>
      <c r="C65" s="671"/>
      <c r="D65" s="681" t="s">
        <v>55</v>
      </c>
      <c r="E65" s="663"/>
      <c r="F65" s="663"/>
      <c r="G65" s="663"/>
      <c r="H65" s="663"/>
      <c r="I65" s="663"/>
      <c r="J65" s="663"/>
      <c r="K65" s="664"/>
      <c r="L65" s="665" t="s">
        <v>112</v>
      </c>
      <c r="M65" s="666"/>
      <c r="N65" s="666"/>
      <c r="O65" s="667"/>
      <c r="P65" s="682" t="s">
        <v>841</v>
      </c>
      <c r="Q65" s="683"/>
      <c r="R65" s="683"/>
      <c r="S65" s="683"/>
      <c r="T65" s="683"/>
      <c r="U65" s="683"/>
      <c r="V65" s="684"/>
    </row>
    <row r="66" spans="1:22" s="119" customFormat="1" ht="30" customHeight="1">
      <c r="A66" s="671" t="s">
        <v>113</v>
      </c>
      <c r="B66" s="671"/>
      <c r="C66" s="671"/>
      <c r="D66" s="685" t="s">
        <v>55</v>
      </c>
      <c r="E66" s="693"/>
      <c r="F66" s="693"/>
      <c r="G66" s="693"/>
      <c r="H66" s="693"/>
      <c r="I66" s="693"/>
      <c r="J66" s="693"/>
      <c r="K66" s="694"/>
      <c r="L66" s="665" t="s">
        <v>114</v>
      </c>
      <c r="M66" s="666"/>
      <c r="N66" s="666"/>
      <c r="O66" s="667"/>
      <c r="P66" s="686" t="s">
        <v>115</v>
      </c>
      <c r="Q66" s="666"/>
      <c r="R66" s="666"/>
      <c r="S66" s="666"/>
      <c r="T66" s="666"/>
      <c r="U66" s="666"/>
      <c r="V66" s="724"/>
    </row>
    <row r="67" spans="1:22" s="119" customFormat="1" ht="30" customHeight="1">
      <c r="A67" s="105" t="s">
        <v>116</v>
      </c>
      <c r="B67" s="105"/>
      <c r="C67" s="105"/>
      <c r="D67" s="690" t="s">
        <v>842</v>
      </c>
      <c r="E67" s="691"/>
      <c r="F67" s="662" t="s">
        <v>117</v>
      </c>
      <c r="G67" s="663"/>
      <c r="H67" s="664"/>
      <c r="I67" s="662" t="s">
        <v>840</v>
      </c>
      <c r="J67" s="663"/>
      <c r="K67" s="664"/>
      <c r="L67" s="665" t="s">
        <v>118</v>
      </c>
      <c r="M67" s="666"/>
      <c r="N67" s="666"/>
      <c r="O67" s="667"/>
      <c r="P67" s="106" t="s">
        <v>119</v>
      </c>
      <c r="Q67" s="107" t="s">
        <v>120</v>
      </c>
      <c r="R67" s="668" t="s">
        <v>115</v>
      </c>
      <c r="S67" s="669"/>
      <c r="T67" s="669"/>
      <c r="U67" s="669"/>
      <c r="V67" s="733"/>
    </row>
    <row r="68" spans="1:22" s="119" customFormat="1" ht="30" customHeight="1">
      <c r="A68" s="723" t="s">
        <v>121</v>
      </c>
      <c r="B68" s="671"/>
      <c r="C68" s="672" t="s">
        <v>525</v>
      </c>
      <c r="D68" s="673"/>
      <c r="E68" s="673"/>
      <c r="F68" s="673"/>
      <c r="G68" s="673"/>
      <c r="H68" s="674"/>
      <c r="I68" s="675" t="s">
        <v>122</v>
      </c>
      <c r="J68" s="676"/>
      <c r="K68" s="677"/>
      <c r="L68" s="665" t="s">
        <v>123</v>
      </c>
      <c r="M68" s="666"/>
      <c r="N68" s="666"/>
      <c r="O68" s="667"/>
      <c r="P68" s="108"/>
      <c r="Q68" s="523" t="s">
        <v>124</v>
      </c>
      <c r="R68" s="678" t="s">
        <v>181</v>
      </c>
      <c r="S68" s="679"/>
      <c r="T68" s="679"/>
      <c r="U68" s="680"/>
      <c r="V68" s="507"/>
    </row>
    <row r="69" spans="1:22" s="120" customFormat="1" ht="27.75" customHeight="1">
      <c r="A69" s="720" t="s">
        <v>126</v>
      </c>
      <c r="B69" s="649" t="s">
        <v>127</v>
      </c>
      <c r="C69" s="649" t="s">
        <v>9</v>
      </c>
      <c r="D69" s="649" t="s">
        <v>128</v>
      </c>
      <c r="E69" s="659" t="s">
        <v>769</v>
      </c>
      <c r="F69" s="687" t="s">
        <v>130</v>
      </c>
      <c r="G69" s="659" t="s">
        <v>131</v>
      </c>
      <c r="H69" s="659" t="s">
        <v>132</v>
      </c>
      <c r="I69" s="649" t="s">
        <v>133</v>
      </c>
      <c r="J69" s="649" t="s">
        <v>134</v>
      </c>
      <c r="K69" s="649" t="s">
        <v>135</v>
      </c>
      <c r="L69" s="649" t="s">
        <v>136</v>
      </c>
      <c r="M69" s="649" t="s">
        <v>137</v>
      </c>
      <c r="N69" s="649" t="s">
        <v>138</v>
      </c>
      <c r="O69" s="649" t="s">
        <v>139</v>
      </c>
      <c r="P69" s="649" t="s">
        <v>140</v>
      </c>
      <c r="Q69" s="659" t="s">
        <v>141</v>
      </c>
      <c r="R69" s="659" t="s">
        <v>142</v>
      </c>
      <c r="S69" s="659" t="s">
        <v>130</v>
      </c>
      <c r="T69" s="659" t="s">
        <v>134</v>
      </c>
      <c r="U69" s="659" t="s">
        <v>136</v>
      </c>
      <c r="V69" s="725" t="s">
        <v>139</v>
      </c>
    </row>
    <row r="70" spans="1:22" s="120" customFormat="1" ht="27.75" customHeight="1">
      <c r="A70" s="721"/>
      <c r="B70" s="652"/>
      <c r="C70" s="652"/>
      <c r="D70" s="650"/>
      <c r="E70" s="660"/>
      <c r="F70" s="688"/>
      <c r="G70" s="660"/>
      <c r="H70" s="660"/>
      <c r="I70" s="650"/>
      <c r="J70" s="652"/>
      <c r="K70" s="652"/>
      <c r="L70" s="654"/>
      <c r="M70" s="652"/>
      <c r="N70" s="652"/>
      <c r="O70" s="652"/>
      <c r="P70" s="652"/>
      <c r="Q70" s="660"/>
      <c r="R70" s="660"/>
      <c r="S70" s="660"/>
      <c r="T70" s="660"/>
      <c r="U70" s="660"/>
      <c r="V70" s="726"/>
    </row>
    <row r="71" spans="1:22" s="120" customFormat="1" ht="27.75" customHeight="1">
      <c r="A71" s="721"/>
      <c r="B71" s="652"/>
      <c r="C71" s="652"/>
      <c r="D71" s="650"/>
      <c r="E71" s="660"/>
      <c r="F71" s="688"/>
      <c r="G71" s="660"/>
      <c r="H71" s="660"/>
      <c r="I71" s="650"/>
      <c r="J71" s="652"/>
      <c r="K71" s="652"/>
      <c r="L71" s="654"/>
      <c r="M71" s="652"/>
      <c r="N71" s="652"/>
      <c r="O71" s="652"/>
      <c r="P71" s="652"/>
      <c r="Q71" s="660"/>
      <c r="R71" s="660"/>
      <c r="S71" s="660"/>
      <c r="T71" s="660"/>
      <c r="U71" s="660"/>
      <c r="V71" s="726"/>
    </row>
    <row r="72" spans="1:22" s="120" customFormat="1" ht="63" customHeight="1">
      <c r="A72" s="722"/>
      <c r="B72" s="653"/>
      <c r="C72" s="653"/>
      <c r="D72" s="651"/>
      <c r="E72" s="661"/>
      <c r="F72" s="689"/>
      <c r="G72" s="661"/>
      <c r="H72" s="661"/>
      <c r="I72" s="651"/>
      <c r="J72" s="653"/>
      <c r="K72" s="653"/>
      <c r="L72" s="655"/>
      <c r="M72" s="653"/>
      <c r="N72" s="653"/>
      <c r="O72" s="653"/>
      <c r="P72" s="653"/>
      <c r="Q72" s="661"/>
      <c r="R72" s="661"/>
      <c r="S72" s="661"/>
      <c r="T72" s="661"/>
      <c r="U72" s="661"/>
      <c r="V72" s="727"/>
    </row>
    <row r="73" spans="1:22" s="120" customFormat="1" ht="178.5">
      <c r="A73" s="775" t="s">
        <v>852</v>
      </c>
      <c r="B73" s="734" t="s">
        <v>169</v>
      </c>
      <c r="C73" s="734" t="s">
        <v>170</v>
      </c>
      <c r="D73" s="528" t="s">
        <v>774</v>
      </c>
      <c r="E73" s="528" t="s">
        <v>775</v>
      </c>
      <c r="F73" s="528">
        <v>6</v>
      </c>
      <c r="G73" s="528"/>
      <c r="H73" s="528" t="s">
        <v>759</v>
      </c>
      <c r="I73" s="209" t="s">
        <v>776</v>
      </c>
      <c r="J73" s="528">
        <v>4</v>
      </c>
      <c r="K73" s="209" t="s">
        <v>777</v>
      </c>
      <c r="L73" s="209">
        <v>3</v>
      </c>
      <c r="M73" s="210">
        <v>653</v>
      </c>
      <c r="N73" s="210"/>
      <c r="O73" s="213">
        <f t="shared" ref="O73" si="2">F73*J73*L73</f>
        <v>72</v>
      </c>
      <c r="P73" s="506" t="s">
        <v>55</v>
      </c>
      <c r="Q73" s="506" t="s">
        <v>55</v>
      </c>
      <c r="R73" s="506" t="s">
        <v>55</v>
      </c>
      <c r="S73" s="506" t="s">
        <v>55</v>
      </c>
      <c r="T73" s="506" t="s">
        <v>55</v>
      </c>
      <c r="U73" s="506" t="s">
        <v>55</v>
      </c>
      <c r="V73" s="508" t="s">
        <v>55</v>
      </c>
    </row>
    <row r="74" spans="1:22" s="120" customFormat="1" ht="250.5" customHeight="1">
      <c r="A74" s="776"/>
      <c r="B74" s="735"/>
      <c r="C74" s="735"/>
      <c r="D74" s="209" t="s">
        <v>778</v>
      </c>
      <c r="E74" s="528" t="s">
        <v>770</v>
      </c>
      <c r="F74" s="213">
        <v>6</v>
      </c>
      <c r="G74" s="213"/>
      <c r="H74" s="212" t="s">
        <v>779</v>
      </c>
      <c r="I74" s="212" t="s">
        <v>780</v>
      </c>
      <c r="J74" s="213">
        <v>4</v>
      </c>
      <c r="K74" s="214" t="s">
        <v>781</v>
      </c>
      <c r="L74" s="215">
        <v>3</v>
      </c>
      <c r="M74" s="211">
        <v>663</v>
      </c>
      <c r="N74" s="211"/>
      <c r="O74" s="213">
        <f>F74*J74*L74</f>
        <v>72</v>
      </c>
      <c r="P74" s="506" t="s">
        <v>55</v>
      </c>
      <c r="Q74" s="506" t="s">
        <v>55</v>
      </c>
      <c r="R74" s="506" t="s">
        <v>55</v>
      </c>
      <c r="S74" s="506" t="s">
        <v>55</v>
      </c>
      <c r="T74" s="506" t="s">
        <v>55</v>
      </c>
      <c r="U74" s="506" t="s">
        <v>55</v>
      </c>
      <c r="V74" s="508" t="s">
        <v>55</v>
      </c>
    </row>
    <row r="75" spans="1:22" s="120" customFormat="1" ht="181.5" customHeight="1" thickBot="1">
      <c r="A75" s="777"/>
      <c r="B75" s="778"/>
      <c r="C75" s="778"/>
      <c r="D75" s="330" t="s">
        <v>760</v>
      </c>
      <c r="E75" s="329" t="s">
        <v>782</v>
      </c>
      <c r="F75" s="330">
        <v>4</v>
      </c>
      <c r="G75" s="330"/>
      <c r="H75" s="329" t="s">
        <v>783</v>
      </c>
      <c r="I75" s="509" t="s">
        <v>784</v>
      </c>
      <c r="J75" s="330">
        <v>3</v>
      </c>
      <c r="K75" s="510" t="s">
        <v>785</v>
      </c>
      <c r="L75" s="511">
        <v>3</v>
      </c>
      <c r="M75" s="512">
        <v>433</v>
      </c>
      <c r="N75" s="513"/>
      <c r="O75" s="514">
        <f>F75*J75*L75</f>
        <v>36</v>
      </c>
      <c r="P75" s="515" t="s">
        <v>55</v>
      </c>
      <c r="Q75" s="515" t="s">
        <v>55</v>
      </c>
      <c r="R75" s="515" t="s">
        <v>55</v>
      </c>
      <c r="S75" s="515" t="s">
        <v>55</v>
      </c>
      <c r="T75" s="515" t="s">
        <v>55</v>
      </c>
      <c r="U75" s="515" t="s">
        <v>55</v>
      </c>
      <c r="V75" s="516" t="s">
        <v>55</v>
      </c>
    </row>
    <row r="76" spans="1:22" s="119" customFormat="1" ht="27.75" customHeight="1">
      <c r="A76" s="703" t="s">
        <v>103</v>
      </c>
      <c r="B76" s="704"/>
      <c r="C76" s="704"/>
      <c r="D76" s="704"/>
      <c r="E76" s="705"/>
      <c r="F76" s="712" t="s">
        <v>104</v>
      </c>
      <c r="G76" s="713"/>
      <c r="H76" s="713"/>
      <c r="I76" s="713"/>
      <c r="J76" s="713"/>
      <c r="K76" s="713"/>
      <c r="L76" s="713"/>
      <c r="M76" s="713"/>
      <c r="N76" s="713"/>
      <c r="O76" s="714"/>
      <c r="P76" s="697" t="s">
        <v>105</v>
      </c>
      <c r="Q76" s="698"/>
      <c r="R76" s="698"/>
      <c r="S76" s="698"/>
      <c r="T76" s="698"/>
      <c r="U76" s="698"/>
      <c r="V76" s="699"/>
    </row>
    <row r="77" spans="1:22" s="119" customFormat="1" ht="27.75" customHeight="1">
      <c r="A77" s="703"/>
      <c r="B77" s="704"/>
      <c r="C77" s="704"/>
      <c r="D77" s="704"/>
      <c r="E77" s="705"/>
      <c r="F77" s="712"/>
      <c r="G77" s="713"/>
      <c r="H77" s="713"/>
      <c r="I77" s="713"/>
      <c r="J77" s="713"/>
      <c r="K77" s="713"/>
      <c r="L77" s="713"/>
      <c r="M77" s="713"/>
      <c r="N77" s="713"/>
      <c r="O77" s="714"/>
      <c r="P77" s="662" t="s">
        <v>106</v>
      </c>
      <c r="Q77" s="718"/>
      <c r="R77" s="718"/>
      <c r="S77" s="718"/>
      <c r="T77" s="718"/>
      <c r="U77" s="718"/>
      <c r="V77" s="719"/>
    </row>
    <row r="78" spans="1:22" s="119" customFormat="1" ht="27.75" customHeight="1">
      <c r="A78" s="706"/>
      <c r="B78" s="707"/>
      <c r="C78" s="707"/>
      <c r="D78" s="707"/>
      <c r="E78" s="708"/>
      <c r="F78" s="715"/>
      <c r="G78" s="716"/>
      <c r="H78" s="716"/>
      <c r="I78" s="716"/>
      <c r="J78" s="716"/>
      <c r="K78" s="716"/>
      <c r="L78" s="716"/>
      <c r="M78" s="716"/>
      <c r="N78" s="716"/>
      <c r="O78" s="717"/>
      <c r="P78" s="662" t="s">
        <v>107</v>
      </c>
      <c r="Q78" s="718"/>
      <c r="R78" s="718"/>
      <c r="S78" s="718"/>
      <c r="T78" s="718"/>
      <c r="U78" s="718"/>
      <c r="V78" s="719"/>
    </row>
    <row r="79" spans="1:22" s="119" customFormat="1" ht="38.25" customHeight="1">
      <c r="A79" s="671" t="s">
        <v>108</v>
      </c>
      <c r="B79" s="671"/>
      <c r="C79" s="672" t="s">
        <v>839</v>
      </c>
      <c r="D79" s="673"/>
      <c r="E79" s="674"/>
      <c r="F79" s="662" t="s">
        <v>109</v>
      </c>
      <c r="G79" s="664"/>
      <c r="H79" s="692">
        <v>215331700141</v>
      </c>
      <c r="I79" s="693"/>
      <c r="J79" s="693"/>
      <c r="K79" s="694"/>
      <c r="L79" s="665" t="s">
        <v>110</v>
      </c>
      <c r="M79" s="666"/>
      <c r="N79" s="695"/>
      <c r="O79" s="696"/>
      <c r="P79" s="662" t="s">
        <v>848</v>
      </c>
      <c r="Q79" s="663"/>
      <c r="R79" s="663"/>
      <c r="S79" s="663"/>
      <c r="T79" s="663"/>
      <c r="U79" s="663"/>
      <c r="V79" s="664"/>
    </row>
    <row r="80" spans="1:22" s="119" customFormat="1" ht="30" customHeight="1">
      <c r="A80" s="671" t="s">
        <v>111</v>
      </c>
      <c r="B80" s="671"/>
      <c r="C80" s="671"/>
      <c r="D80" s="681" t="s">
        <v>55</v>
      </c>
      <c r="E80" s="663"/>
      <c r="F80" s="663"/>
      <c r="G80" s="663"/>
      <c r="H80" s="663"/>
      <c r="I80" s="663"/>
      <c r="J80" s="663"/>
      <c r="K80" s="664"/>
      <c r="L80" s="665" t="s">
        <v>112</v>
      </c>
      <c r="M80" s="666"/>
      <c r="N80" s="666"/>
      <c r="O80" s="667"/>
      <c r="P80" s="682" t="s">
        <v>841</v>
      </c>
      <c r="Q80" s="683"/>
      <c r="R80" s="683"/>
      <c r="S80" s="683"/>
      <c r="T80" s="683"/>
      <c r="U80" s="683"/>
      <c r="V80" s="684"/>
    </row>
    <row r="81" spans="1:256" s="119" customFormat="1" ht="30" customHeight="1">
      <c r="A81" s="671" t="s">
        <v>113</v>
      </c>
      <c r="B81" s="671"/>
      <c r="C81" s="671"/>
      <c r="D81" s="685" t="s">
        <v>55</v>
      </c>
      <c r="E81" s="693"/>
      <c r="F81" s="693"/>
      <c r="G81" s="693"/>
      <c r="H81" s="693"/>
      <c r="I81" s="693"/>
      <c r="J81" s="693"/>
      <c r="K81" s="694"/>
      <c r="L81" s="665" t="s">
        <v>114</v>
      </c>
      <c r="M81" s="666"/>
      <c r="N81" s="666"/>
      <c r="O81" s="667"/>
      <c r="P81" s="686" t="s">
        <v>115</v>
      </c>
      <c r="Q81" s="666"/>
      <c r="R81" s="666"/>
      <c r="S81" s="666"/>
      <c r="T81" s="666"/>
      <c r="U81" s="666"/>
      <c r="V81" s="667"/>
    </row>
    <row r="82" spans="1:256" s="119" customFormat="1" ht="30" customHeight="1">
      <c r="A82" s="105" t="s">
        <v>116</v>
      </c>
      <c r="B82" s="105"/>
      <c r="C82" s="105"/>
      <c r="D82" s="690" t="s">
        <v>842</v>
      </c>
      <c r="E82" s="691"/>
      <c r="F82" s="662" t="s">
        <v>117</v>
      </c>
      <c r="G82" s="663"/>
      <c r="H82" s="664"/>
      <c r="I82" s="662" t="s">
        <v>840</v>
      </c>
      <c r="J82" s="663"/>
      <c r="K82" s="664"/>
      <c r="L82" s="665" t="s">
        <v>118</v>
      </c>
      <c r="M82" s="666"/>
      <c r="N82" s="666"/>
      <c r="O82" s="667"/>
      <c r="P82" s="106" t="s">
        <v>119</v>
      </c>
      <c r="Q82" s="107" t="s">
        <v>120</v>
      </c>
      <c r="R82" s="668" t="s">
        <v>115</v>
      </c>
      <c r="S82" s="669"/>
      <c r="T82" s="669"/>
      <c r="U82" s="669"/>
      <c r="V82" s="670"/>
    </row>
    <row r="83" spans="1:256" s="119" customFormat="1" ht="30" customHeight="1">
      <c r="A83" s="671" t="s">
        <v>121</v>
      </c>
      <c r="B83" s="671"/>
      <c r="C83" s="672" t="s">
        <v>525</v>
      </c>
      <c r="D83" s="673"/>
      <c r="E83" s="673"/>
      <c r="F83" s="673"/>
      <c r="G83" s="673"/>
      <c r="H83" s="674"/>
      <c r="I83" s="675" t="s">
        <v>122</v>
      </c>
      <c r="J83" s="676"/>
      <c r="K83" s="677"/>
      <c r="L83" s="665" t="s">
        <v>123</v>
      </c>
      <c r="M83" s="666"/>
      <c r="N83" s="666"/>
      <c r="O83" s="667"/>
      <c r="P83" s="108"/>
      <c r="Q83" s="298" t="s">
        <v>124</v>
      </c>
      <c r="R83" s="678" t="s">
        <v>182</v>
      </c>
      <c r="S83" s="679"/>
      <c r="T83" s="679"/>
      <c r="U83" s="680"/>
      <c r="V83" s="109"/>
    </row>
    <row r="84" spans="1:256" s="120" customFormat="1" ht="27.75" customHeight="1">
      <c r="A84" s="656" t="s">
        <v>126</v>
      </c>
      <c r="B84" s="649" t="s">
        <v>127</v>
      </c>
      <c r="C84" s="649" t="s">
        <v>9</v>
      </c>
      <c r="D84" s="649" t="s">
        <v>128</v>
      </c>
      <c r="E84" s="659" t="s">
        <v>129</v>
      </c>
      <c r="F84" s="687" t="s">
        <v>130</v>
      </c>
      <c r="G84" s="659" t="s">
        <v>131</v>
      </c>
      <c r="H84" s="659" t="s">
        <v>132</v>
      </c>
      <c r="I84" s="649" t="s">
        <v>133</v>
      </c>
      <c r="J84" s="649" t="s">
        <v>134</v>
      </c>
      <c r="K84" s="649" t="s">
        <v>135</v>
      </c>
      <c r="L84" s="649" t="s">
        <v>136</v>
      </c>
      <c r="M84" s="649" t="s">
        <v>137</v>
      </c>
      <c r="N84" s="649" t="s">
        <v>138</v>
      </c>
      <c r="O84" s="649" t="s">
        <v>139</v>
      </c>
      <c r="P84" s="649" t="s">
        <v>140</v>
      </c>
      <c r="Q84" s="659" t="s">
        <v>141</v>
      </c>
      <c r="R84" s="659" t="s">
        <v>142</v>
      </c>
      <c r="S84" s="659" t="s">
        <v>130</v>
      </c>
      <c r="T84" s="659" t="s">
        <v>134</v>
      </c>
      <c r="U84" s="659" t="s">
        <v>136</v>
      </c>
      <c r="V84" s="659" t="s">
        <v>139</v>
      </c>
    </row>
    <row r="85" spans="1:256" s="120" customFormat="1" ht="27.75" customHeight="1">
      <c r="A85" s="657"/>
      <c r="B85" s="652"/>
      <c r="C85" s="652"/>
      <c r="D85" s="650"/>
      <c r="E85" s="660"/>
      <c r="F85" s="688"/>
      <c r="G85" s="660"/>
      <c r="H85" s="660"/>
      <c r="I85" s="650"/>
      <c r="J85" s="652"/>
      <c r="K85" s="652"/>
      <c r="L85" s="654"/>
      <c r="M85" s="652"/>
      <c r="N85" s="652"/>
      <c r="O85" s="652"/>
      <c r="P85" s="652"/>
      <c r="Q85" s="660"/>
      <c r="R85" s="660"/>
      <c r="S85" s="660"/>
      <c r="T85" s="660"/>
      <c r="U85" s="660"/>
      <c r="V85" s="660"/>
    </row>
    <row r="86" spans="1:256" s="120" customFormat="1" ht="27.75" customHeight="1">
      <c r="A86" s="657"/>
      <c r="B86" s="652"/>
      <c r="C86" s="652"/>
      <c r="D86" s="650"/>
      <c r="E86" s="660"/>
      <c r="F86" s="688"/>
      <c r="G86" s="660"/>
      <c r="H86" s="660"/>
      <c r="I86" s="650"/>
      <c r="J86" s="652"/>
      <c r="K86" s="652"/>
      <c r="L86" s="654"/>
      <c r="M86" s="652"/>
      <c r="N86" s="652"/>
      <c r="O86" s="652"/>
      <c r="P86" s="652"/>
      <c r="Q86" s="660"/>
      <c r="R86" s="660"/>
      <c r="S86" s="660"/>
      <c r="T86" s="660"/>
      <c r="U86" s="660"/>
      <c r="V86" s="660"/>
    </row>
    <row r="87" spans="1:256" s="120" customFormat="1" ht="63" customHeight="1">
      <c r="A87" s="658"/>
      <c r="B87" s="653"/>
      <c r="C87" s="653"/>
      <c r="D87" s="651"/>
      <c r="E87" s="661"/>
      <c r="F87" s="689"/>
      <c r="G87" s="661"/>
      <c r="H87" s="661"/>
      <c r="I87" s="651"/>
      <c r="J87" s="653"/>
      <c r="K87" s="653"/>
      <c r="L87" s="655"/>
      <c r="M87" s="653"/>
      <c r="N87" s="653"/>
      <c r="O87" s="653"/>
      <c r="P87" s="653"/>
      <c r="Q87" s="661"/>
      <c r="R87" s="661"/>
      <c r="S87" s="661"/>
      <c r="T87" s="661"/>
      <c r="U87" s="661"/>
      <c r="V87" s="661"/>
    </row>
    <row r="88" spans="1:256" s="123" customFormat="1" ht="169.5" customHeight="1">
      <c r="A88" s="331" t="s">
        <v>572</v>
      </c>
      <c r="B88" s="196" t="s">
        <v>81</v>
      </c>
      <c r="C88" s="332" t="s">
        <v>172</v>
      </c>
      <c r="D88" s="199" t="s">
        <v>173</v>
      </c>
      <c r="E88" s="199" t="s">
        <v>174</v>
      </c>
      <c r="F88" s="197">
        <v>4</v>
      </c>
      <c r="G88" s="122"/>
      <c r="H88" s="199" t="s">
        <v>175</v>
      </c>
      <c r="I88" s="199" t="s">
        <v>773</v>
      </c>
      <c r="J88" s="201">
        <v>4</v>
      </c>
      <c r="K88" s="199" t="s">
        <v>151</v>
      </c>
      <c r="L88" s="197">
        <v>4</v>
      </c>
      <c r="M88" s="197">
        <v>444</v>
      </c>
      <c r="N88" s="197">
        <v>44</v>
      </c>
      <c r="O88" s="121">
        <f>L88*J88*F88</f>
        <v>64</v>
      </c>
      <c r="P88" s="199" t="s">
        <v>176</v>
      </c>
      <c r="Q88" s="199" t="s">
        <v>177</v>
      </c>
      <c r="R88" s="199" t="s">
        <v>152</v>
      </c>
      <c r="S88" s="121" t="s">
        <v>178</v>
      </c>
      <c r="T88" s="121" t="s">
        <v>178</v>
      </c>
      <c r="U88" s="121" t="s">
        <v>178</v>
      </c>
      <c r="V88" s="121" t="s">
        <v>153</v>
      </c>
    </row>
    <row r="89" spans="1:256" s="119" customFormat="1" ht="27.75" customHeight="1">
      <c r="A89" s="700" t="s">
        <v>103</v>
      </c>
      <c r="B89" s="701"/>
      <c r="C89" s="701"/>
      <c r="D89" s="701"/>
      <c r="E89" s="702"/>
      <c r="F89" s="709" t="s">
        <v>104</v>
      </c>
      <c r="G89" s="710"/>
      <c r="H89" s="710"/>
      <c r="I89" s="710"/>
      <c r="J89" s="710"/>
      <c r="K89" s="710"/>
      <c r="L89" s="710"/>
      <c r="M89" s="710"/>
      <c r="N89" s="710"/>
      <c r="O89" s="711"/>
      <c r="P89" s="662" t="s">
        <v>105</v>
      </c>
      <c r="Q89" s="663"/>
      <c r="R89" s="663"/>
      <c r="S89" s="663"/>
      <c r="T89" s="663"/>
      <c r="U89" s="663"/>
      <c r="V89" s="664"/>
    </row>
    <row r="90" spans="1:256" s="119" customFormat="1" ht="27.75" customHeight="1">
      <c r="A90" s="703"/>
      <c r="B90" s="704"/>
      <c r="C90" s="704"/>
      <c r="D90" s="704"/>
      <c r="E90" s="705"/>
      <c r="F90" s="712"/>
      <c r="G90" s="713"/>
      <c r="H90" s="713"/>
      <c r="I90" s="713"/>
      <c r="J90" s="713"/>
      <c r="K90" s="713"/>
      <c r="L90" s="713"/>
      <c r="M90" s="713"/>
      <c r="N90" s="713"/>
      <c r="O90" s="714"/>
      <c r="P90" s="662" t="s">
        <v>106</v>
      </c>
      <c r="Q90" s="718"/>
      <c r="R90" s="718"/>
      <c r="S90" s="718"/>
      <c r="T90" s="718"/>
      <c r="U90" s="718"/>
      <c r="V90" s="719"/>
    </row>
    <row r="91" spans="1:256" s="119" customFormat="1" ht="27.75" customHeight="1">
      <c r="A91" s="706"/>
      <c r="B91" s="707"/>
      <c r="C91" s="707"/>
      <c r="D91" s="707"/>
      <c r="E91" s="708"/>
      <c r="F91" s="715"/>
      <c r="G91" s="716"/>
      <c r="H91" s="716"/>
      <c r="I91" s="716"/>
      <c r="J91" s="716"/>
      <c r="K91" s="716"/>
      <c r="L91" s="716"/>
      <c r="M91" s="716"/>
      <c r="N91" s="716"/>
      <c r="O91" s="717"/>
      <c r="P91" s="662" t="s">
        <v>107</v>
      </c>
      <c r="Q91" s="718"/>
      <c r="R91" s="718"/>
      <c r="S91" s="718"/>
      <c r="T91" s="718"/>
      <c r="U91" s="718"/>
      <c r="V91" s="719"/>
    </row>
    <row r="92" spans="1:256" ht="35.1" customHeight="1">
      <c r="A92" s="671" t="s">
        <v>108</v>
      </c>
      <c r="B92" s="671"/>
      <c r="C92" s="672" t="s">
        <v>839</v>
      </c>
      <c r="D92" s="673"/>
      <c r="E92" s="674"/>
      <c r="F92" s="662" t="s">
        <v>109</v>
      </c>
      <c r="G92" s="664"/>
      <c r="H92" s="692">
        <v>215331700141</v>
      </c>
      <c r="I92" s="693"/>
      <c r="J92" s="693"/>
      <c r="K92" s="694"/>
      <c r="L92" s="665" t="s">
        <v>110</v>
      </c>
      <c r="M92" s="666"/>
      <c r="N92" s="695"/>
      <c r="O92" s="696"/>
      <c r="P92" s="662" t="s">
        <v>853</v>
      </c>
      <c r="Q92" s="663"/>
      <c r="R92" s="663"/>
      <c r="S92" s="663"/>
      <c r="T92" s="663"/>
      <c r="U92" s="663"/>
      <c r="V92" s="664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103"/>
      <c r="BX92" s="103"/>
      <c r="BY92" s="103"/>
      <c r="BZ92" s="103"/>
      <c r="CA92" s="103"/>
      <c r="CB92" s="103"/>
      <c r="CC92" s="103"/>
      <c r="CD92" s="103"/>
      <c r="CE92" s="103"/>
      <c r="CF92" s="103"/>
      <c r="CG92" s="103"/>
      <c r="CH92" s="103"/>
      <c r="CI92" s="103"/>
      <c r="CJ92" s="103"/>
      <c r="CK92" s="103"/>
      <c r="CL92" s="103"/>
      <c r="CM92" s="103"/>
      <c r="CN92" s="103"/>
      <c r="CO92" s="103"/>
      <c r="CP92" s="103"/>
      <c r="CQ92" s="103"/>
      <c r="CR92" s="103"/>
      <c r="CS92" s="103"/>
      <c r="CT92" s="103"/>
      <c r="CU92" s="103"/>
      <c r="CV92" s="103"/>
      <c r="CW92" s="103"/>
      <c r="CX92" s="103"/>
      <c r="CY92" s="103"/>
      <c r="CZ92" s="103"/>
      <c r="DA92" s="103"/>
      <c r="DB92" s="103"/>
      <c r="DC92" s="103"/>
      <c r="DD92" s="103"/>
      <c r="DE92" s="103"/>
      <c r="DF92" s="103"/>
      <c r="DG92" s="103"/>
      <c r="DH92" s="103"/>
      <c r="DI92" s="103"/>
      <c r="DJ92" s="103"/>
      <c r="DK92" s="103"/>
      <c r="DL92" s="103"/>
      <c r="DM92" s="103"/>
      <c r="DN92" s="103"/>
      <c r="DO92" s="103"/>
      <c r="DP92" s="103"/>
      <c r="DQ92" s="103"/>
      <c r="DR92" s="103"/>
      <c r="DS92" s="103"/>
      <c r="DT92" s="103"/>
      <c r="DU92" s="103"/>
      <c r="DV92" s="103"/>
      <c r="DW92" s="103"/>
      <c r="DX92" s="103"/>
      <c r="DY92" s="103"/>
      <c r="DZ92" s="103"/>
      <c r="EA92" s="103"/>
      <c r="EB92" s="103"/>
      <c r="EC92" s="103"/>
      <c r="ED92" s="103"/>
      <c r="EE92" s="103"/>
      <c r="EF92" s="103"/>
      <c r="EG92" s="103"/>
      <c r="EH92" s="103"/>
      <c r="EI92" s="103"/>
      <c r="EJ92" s="103"/>
      <c r="EK92" s="103"/>
      <c r="EL92" s="103"/>
      <c r="EM92" s="103"/>
      <c r="EN92" s="103"/>
      <c r="EO92" s="103"/>
      <c r="EP92" s="103"/>
      <c r="EQ92" s="103"/>
      <c r="ER92" s="103"/>
      <c r="ES92" s="103"/>
      <c r="ET92" s="103"/>
      <c r="EU92" s="103"/>
      <c r="EV92" s="103"/>
      <c r="EW92" s="103"/>
      <c r="EX92" s="103"/>
      <c r="EY92" s="103"/>
      <c r="EZ92" s="103"/>
      <c r="FA92" s="103"/>
      <c r="FB92" s="103"/>
      <c r="FC92" s="103"/>
      <c r="FD92" s="103"/>
      <c r="FE92" s="103"/>
      <c r="FF92" s="103"/>
      <c r="FG92" s="103"/>
      <c r="FH92" s="103"/>
      <c r="FI92" s="103"/>
      <c r="FJ92" s="103"/>
      <c r="FK92" s="103"/>
      <c r="FL92" s="103"/>
      <c r="FM92" s="103"/>
      <c r="FN92" s="103"/>
      <c r="FO92" s="103"/>
      <c r="FP92" s="103"/>
      <c r="FQ92" s="103"/>
      <c r="FR92" s="103"/>
      <c r="FS92" s="103"/>
      <c r="FT92" s="103"/>
      <c r="FU92" s="103"/>
      <c r="FV92" s="103"/>
      <c r="FW92" s="103"/>
      <c r="FX92" s="103"/>
      <c r="FY92" s="103"/>
      <c r="FZ92" s="103"/>
      <c r="GA92" s="103"/>
      <c r="GB92" s="103"/>
      <c r="GC92" s="103"/>
      <c r="GD92" s="103"/>
      <c r="GE92" s="103"/>
      <c r="GF92" s="103"/>
      <c r="GG92" s="103"/>
      <c r="GH92" s="103"/>
      <c r="GI92" s="103"/>
      <c r="GJ92" s="103"/>
      <c r="GK92" s="103"/>
      <c r="GL92" s="103"/>
      <c r="GM92" s="103"/>
      <c r="GN92" s="103"/>
      <c r="GO92" s="103"/>
      <c r="GP92" s="103"/>
      <c r="GQ92" s="103"/>
      <c r="GR92" s="103"/>
      <c r="GS92" s="103"/>
      <c r="GT92" s="103"/>
      <c r="GU92" s="103"/>
      <c r="GV92" s="103"/>
      <c r="GW92" s="103"/>
      <c r="GX92" s="103"/>
      <c r="GY92" s="103"/>
      <c r="GZ92" s="103"/>
      <c r="HA92" s="103"/>
      <c r="HB92" s="103"/>
      <c r="HC92" s="103"/>
      <c r="HD92" s="103"/>
      <c r="HE92" s="103"/>
      <c r="HF92" s="103"/>
      <c r="HG92" s="103"/>
      <c r="HH92" s="103"/>
      <c r="HI92" s="103"/>
      <c r="HJ92" s="103"/>
      <c r="HK92" s="103"/>
      <c r="HL92" s="103"/>
      <c r="HM92" s="103"/>
      <c r="HN92" s="103"/>
      <c r="HO92" s="103"/>
      <c r="HP92" s="103"/>
      <c r="HQ92" s="103"/>
      <c r="HR92" s="103"/>
      <c r="HS92" s="103"/>
      <c r="HT92" s="103"/>
      <c r="HU92" s="103"/>
      <c r="HV92" s="103"/>
      <c r="HW92" s="103"/>
      <c r="HX92" s="103"/>
      <c r="HY92" s="103"/>
      <c r="HZ92" s="103"/>
      <c r="IA92" s="103"/>
      <c r="IB92" s="103"/>
      <c r="IC92" s="103"/>
      <c r="ID92" s="103"/>
      <c r="IE92" s="103"/>
      <c r="IF92" s="103"/>
      <c r="IG92" s="103"/>
      <c r="IH92" s="103"/>
      <c r="II92" s="103"/>
      <c r="IJ92" s="103"/>
      <c r="IK92" s="103"/>
      <c r="IL92" s="103"/>
      <c r="IM92" s="103"/>
      <c r="IN92" s="103"/>
      <c r="IO92" s="103"/>
      <c r="IP92" s="103"/>
      <c r="IQ92" s="103"/>
      <c r="IR92" s="103"/>
      <c r="IS92" s="103"/>
      <c r="IT92" s="103"/>
      <c r="IU92" s="103"/>
      <c r="IV92" s="103"/>
    </row>
    <row r="93" spans="1:256" ht="35.1" customHeight="1">
      <c r="A93" s="671" t="s">
        <v>111</v>
      </c>
      <c r="B93" s="671"/>
      <c r="C93" s="671"/>
      <c r="D93" s="681" t="s">
        <v>55</v>
      </c>
      <c r="E93" s="663"/>
      <c r="F93" s="663"/>
      <c r="G93" s="663"/>
      <c r="H93" s="663"/>
      <c r="I93" s="663"/>
      <c r="J93" s="663"/>
      <c r="K93" s="664"/>
      <c r="L93" s="665" t="s">
        <v>112</v>
      </c>
      <c r="M93" s="666"/>
      <c r="N93" s="666"/>
      <c r="O93" s="667"/>
      <c r="P93" s="682" t="s">
        <v>841</v>
      </c>
      <c r="Q93" s="683"/>
      <c r="R93" s="683"/>
      <c r="S93" s="683"/>
      <c r="T93" s="683"/>
      <c r="U93" s="683"/>
      <c r="V93" s="684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103"/>
      <c r="BX93" s="103"/>
      <c r="BY93" s="103"/>
      <c r="BZ93" s="103"/>
      <c r="CA93" s="103"/>
      <c r="CB93" s="103"/>
      <c r="CC93" s="103"/>
      <c r="CD93" s="103"/>
      <c r="CE93" s="103"/>
      <c r="CF93" s="103"/>
      <c r="CG93" s="103"/>
      <c r="CH93" s="103"/>
      <c r="CI93" s="103"/>
      <c r="CJ93" s="103"/>
      <c r="CK93" s="103"/>
      <c r="CL93" s="103"/>
      <c r="CM93" s="103"/>
      <c r="CN93" s="103"/>
      <c r="CO93" s="103"/>
      <c r="CP93" s="103"/>
      <c r="CQ93" s="103"/>
      <c r="CR93" s="103"/>
      <c r="CS93" s="103"/>
      <c r="CT93" s="103"/>
      <c r="CU93" s="103"/>
      <c r="CV93" s="103"/>
      <c r="CW93" s="103"/>
      <c r="CX93" s="103"/>
      <c r="CY93" s="103"/>
      <c r="CZ93" s="103"/>
      <c r="DA93" s="103"/>
      <c r="DB93" s="103"/>
      <c r="DC93" s="103"/>
      <c r="DD93" s="103"/>
      <c r="DE93" s="103"/>
      <c r="DF93" s="103"/>
      <c r="DG93" s="103"/>
      <c r="DH93" s="103"/>
      <c r="DI93" s="103"/>
      <c r="DJ93" s="103"/>
      <c r="DK93" s="103"/>
      <c r="DL93" s="103"/>
      <c r="DM93" s="103"/>
      <c r="DN93" s="103"/>
      <c r="DO93" s="103"/>
      <c r="DP93" s="103"/>
      <c r="DQ93" s="103"/>
      <c r="DR93" s="103"/>
      <c r="DS93" s="103"/>
      <c r="DT93" s="103"/>
      <c r="DU93" s="103"/>
      <c r="DV93" s="103"/>
      <c r="DW93" s="103"/>
      <c r="DX93" s="103"/>
      <c r="DY93" s="103"/>
      <c r="DZ93" s="103"/>
      <c r="EA93" s="103"/>
      <c r="EB93" s="103"/>
      <c r="EC93" s="103"/>
      <c r="ED93" s="103"/>
      <c r="EE93" s="103"/>
      <c r="EF93" s="103"/>
      <c r="EG93" s="103"/>
      <c r="EH93" s="103"/>
      <c r="EI93" s="103"/>
      <c r="EJ93" s="103"/>
      <c r="EK93" s="103"/>
      <c r="EL93" s="103"/>
      <c r="EM93" s="103"/>
      <c r="EN93" s="103"/>
      <c r="EO93" s="103"/>
      <c r="EP93" s="103"/>
      <c r="EQ93" s="103"/>
      <c r="ER93" s="103"/>
      <c r="ES93" s="103"/>
      <c r="ET93" s="103"/>
      <c r="EU93" s="103"/>
      <c r="EV93" s="103"/>
      <c r="EW93" s="103"/>
      <c r="EX93" s="103"/>
      <c r="EY93" s="103"/>
      <c r="EZ93" s="103"/>
      <c r="FA93" s="103"/>
      <c r="FB93" s="103"/>
      <c r="FC93" s="103"/>
      <c r="FD93" s="103"/>
      <c r="FE93" s="103"/>
      <c r="FF93" s="103"/>
      <c r="FG93" s="103"/>
      <c r="FH93" s="103"/>
      <c r="FI93" s="103"/>
      <c r="FJ93" s="103"/>
      <c r="FK93" s="103"/>
      <c r="FL93" s="103"/>
      <c r="FM93" s="103"/>
      <c r="FN93" s="103"/>
      <c r="FO93" s="103"/>
      <c r="FP93" s="103"/>
      <c r="FQ93" s="103"/>
      <c r="FR93" s="103"/>
      <c r="FS93" s="103"/>
      <c r="FT93" s="103"/>
      <c r="FU93" s="103"/>
      <c r="FV93" s="103"/>
      <c r="FW93" s="103"/>
      <c r="FX93" s="103"/>
      <c r="FY93" s="103"/>
      <c r="FZ93" s="103"/>
      <c r="GA93" s="103"/>
      <c r="GB93" s="103"/>
      <c r="GC93" s="103"/>
      <c r="GD93" s="103"/>
      <c r="GE93" s="103"/>
      <c r="GF93" s="103"/>
      <c r="GG93" s="103"/>
      <c r="GH93" s="103"/>
      <c r="GI93" s="103"/>
      <c r="GJ93" s="103"/>
      <c r="GK93" s="103"/>
      <c r="GL93" s="103"/>
      <c r="GM93" s="103"/>
      <c r="GN93" s="103"/>
      <c r="GO93" s="103"/>
      <c r="GP93" s="103"/>
      <c r="GQ93" s="103"/>
      <c r="GR93" s="103"/>
      <c r="GS93" s="103"/>
      <c r="GT93" s="103"/>
      <c r="GU93" s="103"/>
      <c r="GV93" s="103"/>
      <c r="GW93" s="103"/>
      <c r="GX93" s="103"/>
      <c r="GY93" s="103"/>
      <c r="GZ93" s="103"/>
      <c r="HA93" s="103"/>
      <c r="HB93" s="103"/>
      <c r="HC93" s="103"/>
      <c r="HD93" s="103"/>
      <c r="HE93" s="103"/>
      <c r="HF93" s="103"/>
      <c r="HG93" s="103"/>
      <c r="HH93" s="103"/>
      <c r="HI93" s="103"/>
      <c r="HJ93" s="103"/>
      <c r="HK93" s="103"/>
      <c r="HL93" s="103"/>
      <c r="HM93" s="103"/>
      <c r="HN93" s="103"/>
      <c r="HO93" s="103"/>
      <c r="HP93" s="103"/>
      <c r="HQ93" s="103"/>
      <c r="HR93" s="103"/>
      <c r="HS93" s="103"/>
      <c r="HT93" s="103"/>
      <c r="HU93" s="103"/>
      <c r="HV93" s="103"/>
      <c r="HW93" s="103"/>
      <c r="HX93" s="103"/>
      <c r="HY93" s="103"/>
      <c r="HZ93" s="103"/>
      <c r="IA93" s="103"/>
      <c r="IB93" s="103"/>
      <c r="IC93" s="103"/>
      <c r="ID93" s="103"/>
      <c r="IE93" s="103"/>
      <c r="IF93" s="103"/>
      <c r="IG93" s="103"/>
      <c r="IH93" s="103"/>
      <c r="II93" s="103"/>
      <c r="IJ93" s="103"/>
      <c r="IK93" s="103"/>
      <c r="IL93" s="103"/>
      <c r="IM93" s="103"/>
      <c r="IN93" s="103"/>
      <c r="IO93" s="103"/>
      <c r="IP93" s="103"/>
      <c r="IQ93" s="103"/>
      <c r="IR93" s="103"/>
      <c r="IS93" s="103"/>
      <c r="IT93" s="103"/>
      <c r="IU93" s="103"/>
      <c r="IV93" s="103"/>
    </row>
    <row r="94" spans="1:256" ht="35.1" customHeight="1">
      <c r="A94" s="671" t="s">
        <v>113</v>
      </c>
      <c r="B94" s="671"/>
      <c r="C94" s="671"/>
      <c r="D94" s="685" t="s">
        <v>55</v>
      </c>
      <c r="E94" s="693"/>
      <c r="F94" s="693"/>
      <c r="G94" s="693"/>
      <c r="H94" s="693"/>
      <c r="I94" s="693"/>
      <c r="J94" s="693"/>
      <c r="K94" s="694"/>
      <c r="L94" s="665" t="s">
        <v>114</v>
      </c>
      <c r="M94" s="666"/>
      <c r="N94" s="666"/>
      <c r="O94" s="667"/>
      <c r="P94" s="686" t="s">
        <v>115</v>
      </c>
      <c r="Q94" s="666"/>
      <c r="R94" s="666"/>
      <c r="S94" s="666"/>
      <c r="T94" s="666"/>
      <c r="U94" s="666"/>
      <c r="V94" s="667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103"/>
      <c r="BX94" s="103"/>
      <c r="BY94" s="103"/>
      <c r="BZ94" s="103"/>
      <c r="CA94" s="103"/>
      <c r="CB94" s="103"/>
      <c r="CC94" s="103"/>
      <c r="CD94" s="103"/>
      <c r="CE94" s="103"/>
      <c r="CF94" s="103"/>
      <c r="CG94" s="103"/>
      <c r="CH94" s="103"/>
      <c r="CI94" s="103"/>
      <c r="CJ94" s="103"/>
      <c r="CK94" s="103"/>
      <c r="CL94" s="103"/>
      <c r="CM94" s="103"/>
      <c r="CN94" s="103"/>
      <c r="CO94" s="103"/>
      <c r="CP94" s="103"/>
      <c r="CQ94" s="103"/>
      <c r="CR94" s="103"/>
      <c r="CS94" s="103"/>
      <c r="CT94" s="103"/>
      <c r="CU94" s="103"/>
      <c r="CV94" s="103"/>
      <c r="CW94" s="103"/>
      <c r="CX94" s="103"/>
      <c r="CY94" s="103"/>
      <c r="CZ94" s="103"/>
      <c r="DA94" s="103"/>
      <c r="DB94" s="103"/>
      <c r="DC94" s="103"/>
      <c r="DD94" s="103"/>
      <c r="DE94" s="103"/>
      <c r="DF94" s="103"/>
      <c r="DG94" s="103"/>
      <c r="DH94" s="103"/>
      <c r="DI94" s="103"/>
      <c r="DJ94" s="103"/>
      <c r="DK94" s="103"/>
      <c r="DL94" s="103"/>
      <c r="DM94" s="103"/>
      <c r="DN94" s="103"/>
      <c r="DO94" s="103"/>
      <c r="DP94" s="103"/>
      <c r="DQ94" s="103"/>
      <c r="DR94" s="103"/>
      <c r="DS94" s="103"/>
      <c r="DT94" s="103"/>
      <c r="DU94" s="103"/>
      <c r="DV94" s="103"/>
      <c r="DW94" s="103"/>
      <c r="DX94" s="103"/>
      <c r="DY94" s="103"/>
      <c r="DZ94" s="103"/>
      <c r="EA94" s="103"/>
      <c r="EB94" s="103"/>
      <c r="EC94" s="103"/>
      <c r="ED94" s="103"/>
      <c r="EE94" s="103"/>
      <c r="EF94" s="103"/>
      <c r="EG94" s="103"/>
      <c r="EH94" s="103"/>
      <c r="EI94" s="103"/>
      <c r="EJ94" s="103"/>
      <c r="EK94" s="103"/>
      <c r="EL94" s="103"/>
      <c r="EM94" s="103"/>
      <c r="EN94" s="103"/>
      <c r="EO94" s="103"/>
      <c r="EP94" s="103"/>
      <c r="EQ94" s="103"/>
      <c r="ER94" s="103"/>
      <c r="ES94" s="103"/>
      <c r="ET94" s="103"/>
      <c r="EU94" s="103"/>
      <c r="EV94" s="103"/>
      <c r="EW94" s="103"/>
      <c r="EX94" s="103"/>
      <c r="EY94" s="103"/>
      <c r="EZ94" s="103"/>
      <c r="FA94" s="103"/>
      <c r="FB94" s="103"/>
      <c r="FC94" s="103"/>
      <c r="FD94" s="103"/>
      <c r="FE94" s="103"/>
      <c r="FF94" s="103"/>
      <c r="FG94" s="103"/>
      <c r="FH94" s="103"/>
      <c r="FI94" s="103"/>
      <c r="FJ94" s="103"/>
      <c r="FK94" s="103"/>
      <c r="FL94" s="103"/>
      <c r="FM94" s="103"/>
      <c r="FN94" s="103"/>
      <c r="FO94" s="103"/>
      <c r="FP94" s="103"/>
      <c r="FQ94" s="103"/>
      <c r="FR94" s="103"/>
      <c r="FS94" s="103"/>
      <c r="FT94" s="103"/>
      <c r="FU94" s="103"/>
      <c r="FV94" s="103"/>
      <c r="FW94" s="103"/>
      <c r="FX94" s="103"/>
      <c r="FY94" s="103"/>
      <c r="FZ94" s="103"/>
      <c r="GA94" s="103"/>
      <c r="GB94" s="103"/>
      <c r="GC94" s="103"/>
      <c r="GD94" s="103"/>
      <c r="GE94" s="103"/>
      <c r="GF94" s="103"/>
      <c r="GG94" s="103"/>
      <c r="GH94" s="103"/>
      <c r="GI94" s="103"/>
      <c r="GJ94" s="103"/>
      <c r="GK94" s="103"/>
      <c r="GL94" s="103"/>
      <c r="GM94" s="103"/>
      <c r="GN94" s="103"/>
      <c r="GO94" s="103"/>
      <c r="GP94" s="103"/>
      <c r="GQ94" s="103"/>
      <c r="GR94" s="103"/>
      <c r="GS94" s="103"/>
      <c r="GT94" s="103"/>
      <c r="GU94" s="103"/>
      <c r="GV94" s="103"/>
      <c r="GW94" s="103"/>
      <c r="GX94" s="103"/>
      <c r="GY94" s="103"/>
      <c r="GZ94" s="103"/>
      <c r="HA94" s="103"/>
      <c r="HB94" s="103"/>
      <c r="HC94" s="103"/>
      <c r="HD94" s="103"/>
      <c r="HE94" s="103"/>
      <c r="HF94" s="103"/>
      <c r="HG94" s="103"/>
      <c r="HH94" s="103"/>
      <c r="HI94" s="103"/>
      <c r="HJ94" s="103"/>
      <c r="HK94" s="103"/>
      <c r="HL94" s="103"/>
      <c r="HM94" s="103"/>
      <c r="HN94" s="103"/>
      <c r="HO94" s="103"/>
      <c r="HP94" s="103"/>
      <c r="HQ94" s="103"/>
      <c r="HR94" s="103"/>
      <c r="HS94" s="103"/>
      <c r="HT94" s="103"/>
      <c r="HU94" s="103"/>
      <c r="HV94" s="103"/>
      <c r="HW94" s="103"/>
      <c r="HX94" s="103"/>
      <c r="HY94" s="103"/>
      <c r="HZ94" s="103"/>
      <c r="IA94" s="103"/>
      <c r="IB94" s="103"/>
      <c r="IC94" s="103"/>
      <c r="ID94" s="103"/>
      <c r="IE94" s="103"/>
      <c r="IF94" s="103"/>
      <c r="IG94" s="103"/>
      <c r="IH94" s="103"/>
      <c r="II94" s="103"/>
      <c r="IJ94" s="103"/>
      <c r="IK94" s="103"/>
      <c r="IL94" s="103"/>
      <c r="IM94" s="103"/>
      <c r="IN94" s="103"/>
      <c r="IO94" s="103"/>
      <c r="IP94" s="103"/>
      <c r="IQ94" s="103"/>
      <c r="IR94" s="103"/>
      <c r="IS94" s="103"/>
      <c r="IT94" s="103"/>
      <c r="IU94" s="103"/>
      <c r="IV94" s="103"/>
    </row>
    <row r="95" spans="1:256" ht="35.1" customHeight="1">
      <c r="A95" s="105" t="s">
        <v>116</v>
      </c>
      <c r="B95" s="105"/>
      <c r="C95" s="105"/>
      <c r="D95" s="690" t="s">
        <v>842</v>
      </c>
      <c r="E95" s="691"/>
      <c r="F95" s="662" t="s">
        <v>117</v>
      </c>
      <c r="G95" s="663"/>
      <c r="H95" s="664"/>
      <c r="I95" s="662" t="s">
        <v>840</v>
      </c>
      <c r="J95" s="663"/>
      <c r="K95" s="664"/>
      <c r="L95" s="665" t="s">
        <v>118</v>
      </c>
      <c r="M95" s="666"/>
      <c r="N95" s="666"/>
      <c r="O95" s="667"/>
      <c r="P95" s="106" t="s">
        <v>119</v>
      </c>
      <c r="Q95" s="107" t="s">
        <v>120</v>
      </c>
      <c r="R95" s="668" t="s">
        <v>115</v>
      </c>
      <c r="S95" s="669"/>
      <c r="T95" s="669"/>
      <c r="U95" s="669"/>
      <c r="V95" s="670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3"/>
      <c r="BZ95" s="103"/>
      <c r="CA95" s="103"/>
      <c r="CB95" s="103"/>
      <c r="CC95" s="103"/>
      <c r="CD95" s="103"/>
      <c r="CE95" s="103"/>
      <c r="CF95" s="103"/>
      <c r="CG95" s="103"/>
      <c r="CH95" s="103"/>
      <c r="CI95" s="103"/>
      <c r="CJ95" s="103"/>
      <c r="CK95" s="103"/>
      <c r="CL95" s="103"/>
      <c r="CM95" s="103"/>
      <c r="CN95" s="103"/>
      <c r="CO95" s="103"/>
      <c r="CP95" s="103"/>
      <c r="CQ95" s="103"/>
      <c r="CR95" s="103"/>
      <c r="CS95" s="103"/>
      <c r="CT95" s="103"/>
      <c r="CU95" s="103"/>
      <c r="CV95" s="103"/>
      <c r="CW95" s="103"/>
      <c r="CX95" s="103"/>
      <c r="CY95" s="103"/>
      <c r="CZ95" s="103"/>
      <c r="DA95" s="103"/>
      <c r="DB95" s="103"/>
      <c r="DC95" s="103"/>
      <c r="DD95" s="103"/>
      <c r="DE95" s="103"/>
      <c r="DF95" s="103"/>
      <c r="DG95" s="103"/>
      <c r="DH95" s="103"/>
      <c r="DI95" s="103"/>
      <c r="DJ95" s="103"/>
      <c r="DK95" s="103"/>
      <c r="DL95" s="103"/>
      <c r="DM95" s="103"/>
      <c r="DN95" s="103"/>
      <c r="DO95" s="103"/>
      <c r="DP95" s="103"/>
      <c r="DQ95" s="103"/>
      <c r="DR95" s="103"/>
      <c r="DS95" s="103"/>
      <c r="DT95" s="103"/>
      <c r="DU95" s="103"/>
      <c r="DV95" s="103"/>
      <c r="DW95" s="103"/>
      <c r="DX95" s="103"/>
      <c r="DY95" s="103"/>
      <c r="DZ95" s="103"/>
      <c r="EA95" s="103"/>
      <c r="EB95" s="103"/>
      <c r="EC95" s="103"/>
      <c r="ED95" s="103"/>
      <c r="EE95" s="103"/>
      <c r="EF95" s="103"/>
      <c r="EG95" s="103"/>
      <c r="EH95" s="103"/>
      <c r="EI95" s="103"/>
      <c r="EJ95" s="103"/>
      <c r="EK95" s="103"/>
      <c r="EL95" s="103"/>
      <c r="EM95" s="103"/>
      <c r="EN95" s="103"/>
      <c r="EO95" s="103"/>
      <c r="EP95" s="103"/>
      <c r="EQ95" s="103"/>
      <c r="ER95" s="103"/>
      <c r="ES95" s="103"/>
      <c r="ET95" s="103"/>
      <c r="EU95" s="103"/>
      <c r="EV95" s="103"/>
      <c r="EW95" s="103"/>
      <c r="EX95" s="103"/>
      <c r="EY95" s="103"/>
      <c r="EZ95" s="103"/>
      <c r="FA95" s="103"/>
      <c r="FB95" s="103"/>
      <c r="FC95" s="103"/>
      <c r="FD95" s="103"/>
      <c r="FE95" s="103"/>
      <c r="FF95" s="103"/>
      <c r="FG95" s="103"/>
      <c r="FH95" s="103"/>
      <c r="FI95" s="103"/>
      <c r="FJ95" s="103"/>
      <c r="FK95" s="103"/>
      <c r="FL95" s="103"/>
      <c r="FM95" s="103"/>
      <c r="FN95" s="103"/>
      <c r="FO95" s="103"/>
      <c r="FP95" s="103"/>
      <c r="FQ95" s="103"/>
      <c r="FR95" s="103"/>
      <c r="FS95" s="103"/>
      <c r="FT95" s="103"/>
      <c r="FU95" s="103"/>
      <c r="FV95" s="103"/>
      <c r="FW95" s="103"/>
      <c r="FX95" s="103"/>
      <c r="FY95" s="103"/>
      <c r="FZ95" s="103"/>
      <c r="GA95" s="103"/>
      <c r="GB95" s="103"/>
      <c r="GC95" s="103"/>
      <c r="GD95" s="103"/>
      <c r="GE95" s="103"/>
      <c r="GF95" s="103"/>
      <c r="GG95" s="103"/>
      <c r="GH95" s="103"/>
      <c r="GI95" s="103"/>
      <c r="GJ95" s="103"/>
      <c r="GK95" s="103"/>
      <c r="GL95" s="103"/>
      <c r="GM95" s="103"/>
      <c r="GN95" s="103"/>
      <c r="GO95" s="103"/>
      <c r="GP95" s="103"/>
      <c r="GQ95" s="103"/>
      <c r="GR95" s="103"/>
      <c r="GS95" s="103"/>
      <c r="GT95" s="103"/>
      <c r="GU95" s="103"/>
      <c r="GV95" s="103"/>
      <c r="GW95" s="103"/>
      <c r="GX95" s="103"/>
      <c r="GY95" s="103"/>
      <c r="GZ95" s="103"/>
      <c r="HA95" s="103"/>
      <c r="HB95" s="103"/>
      <c r="HC95" s="103"/>
      <c r="HD95" s="103"/>
      <c r="HE95" s="103"/>
      <c r="HF95" s="103"/>
      <c r="HG95" s="103"/>
      <c r="HH95" s="103"/>
      <c r="HI95" s="103"/>
      <c r="HJ95" s="103"/>
      <c r="HK95" s="103"/>
      <c r="HL95" s="103"/>
      <c r="HM95" s="103"/>
      <c r="HN95" s="103"/>
      <c r="HO95" s="103"/>
      <c r="HP95" s="103"/>
      <c r="HQ95" s="103"/>
      <c r="HR95" s="103"/>
      <c r="HS95" s="103"/>
      <c r="HT95" s="103"/>
      <c r="HU95" s="103"/>
      <c r="HV95" s="103"/>
      <c r="HW95" s="103"/>
      <c r="HX95" s="103"/>
      <c r="HY95" s="103"/>
      <c r="HZ95" s="103"/>
      <c r="IA95" s="103"/>
      <c r="IB95" s="103"/>
      <c r="IC95" s="103"/>
      <c r="ID95" s="103"/>
      <c r="IE95" s="103"/>
      <c r="IF95" s="103"/>
      <c r="IG95" s="103"/>
      <c r="IH95" s="103"/>
      <c r="II95" s="103"/>
      <c r="IJ95" s="103"/>
      <c r="IK95" s="103"/>
      <c r="IL95" s="103"/>
      <c r="IM95" s="103"/>
      <c r="IN95" s="103"/>
      <c r="IO95" s="103"/>
      <c r="IP95" s="103"/>
      <c r="IQ95" s="103"/>
      <c r="IR95" s="103"/>
      <c r="IS95" s="103"/>
      <c r="IT95" s="103"/>
      <c r="IU95" s="103"/>
      <c r="IV95" s="103"/>
    </row>
    <row r="96" spans="1:256" ht="35.1" customHeight="1">
      <c r="A96" s="671" t="s">
        <v>121</v>
      </c>
      <c r="B96" s="671"/>
      <c r="C96" s="672" t="s">
        <v>525</v>
      </c>
      <c r="D96" s="673"/>
      <c r="E96" s="673"/>
      <c r="F96" s="673"/>
      <c r="G96" s="673"/>
      <c r="H96" s="674"/>
      <c r="I96" s="675" t="s">
        <v>122</v>
      </c>
      <c r="J96" s="676"/>
      <c r="K96" s="677"/>
      <c r="L96" s="665" t="s">
        <v>123</v>
      </c>
      <c r="M96" s="666"/>
      <c r="N96" s="666"/>
      <c r="O96" s="667"/>
      <c r="P96" s="108"/>
      <c r="Q96" s="298" t="s">
        <v>124</v>
      </c>
      <c r="R96" s="678" t="s">
        <v>183</v>
      </c>
      <c r="S96" s="679"/>
      <c r="T96" s="679"/>
      <c r="U96" s="680"/>
      <c r="V96" s="109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103"/>
      <c r="BX96" s="103"/>
      <c r="BY96" s="103"/>
      <c r="BZ96" s="103"/>
      <c r="CA96" s="103"/>
      <c r="CB96" s="103"/>
      <c r="CC96" s="103"/>
      <c r="CD96" s="103"/>
      <c r="CE96" s="103"/>
      <c r="CF96" s="103"/>
      <c r="CG96" s="103"/>
      <c r="CH96" s="103"/>
      <c r="CI96" s="103"/>
      <c r="CJ96" s="103"/>
      <c r="CK96" s="103"/>
      <c r="CL96" s="103"/>
      <c r="CM96" s="103"/>
      <c r="CN96" s="103"/>
      <c r="CO96" s="103"/>
      <c r="CP96" s="103"/>
      <c r="CQ96" s="103"/>
      <c r="CR96" s="103"/>
      <c r="CS96" s="103"/>
      <c r="CT96" s="103"/>
      <c r="CU96" s="103"/>
      <c r="CV96" s="103"/>
      <c r="CW96" s="103"/>
      <c r="CX96" s="103"/>
      <c r="CY96" s="103"/>
      <c r="CZ96" s="103"/>
      <c r="DA96" s="103"/>
      <c r="DB96" s="103"/>
      <c r="DC96" s="103"/>
      <c r="DD96" s="103"/>
      <c r="DE96" s="103"/>
      <c r="DF96" s="103"/>
      <c r="DG96" s="103"/>
      <c r="DH96" s="103"/>
      <c r="DI96" s="103"/>
      <c r="DJ96" s="103"/>
      <c r="DK96" s="103"/>
      <c r="DL96" s="103"/>
      <c r="DM96" s="103"/>
      <c r="DN96" s="103"/>
      <c r="DO96" s="103"/>
      <c r="DP96" s="103"/>
      <c r="DQ96" s="103"/>
      <c r="DR96" s="103"/>
      <c r="DS96" s="103"/>
      <c r="DT96" s="103"/>
      <c r="DU96" s="103"/>
      <c r="DV96" s="103"/>
      <c r="DW96" s="103"/>
      <c r="DX96" s="103"/>
      <c r="DY96" s="103"/>
      <c r="DZ96" s="103"/>
      <c r="EA96" s="103"/>
      <c r="EB96" s="103"/>
      <c r="EC96" s="103"/>
      <c r="ED96" s="103"/>
      <c r="EE96" s="103"/>
      <c r="EF96" s="103"/>
      <c r="EG96" s="103"/>
      <c r="EH96" s="103"/>
      <c r="EI96" s="103"/>
      <c r="EJ96" s="103"/>
      <c r="EK96" s="103"/>
      <c r="EL96" s="103"/>
      <c r="EM96" s="103"/>
      <c r="EN96" s="103"/>
      <c r="EO96" s="103"/>
      <c r="EP96" s="103"/>
      <c r="EQ96" s="103"/>
      <c r="ER96" s="103"/>
      <c r="ES96" s="103"/>
      <c r="ET96" s="103"/>
      <c r="EU96" s="103"/>
      <c r="EV96" s="103"/>
      <c r="EW96" s="103"/>
      <c r="EX96" s="103"/>
      <c r="EY96" s="103"/>
      <c r="EZ96" s="103"/>
      <c r="FA96" s="103"/>
      <c r="FB96" s="103"/>
      <c r="FC96" s="103"/>
      <c r="FD96" s="103"/>
      <c r="FE96" s="103"/>
      <c r="FF96" s="103"/>
      <c r="FG96" s="103"/>
      <c r="FH96" s="103"/>
      <c r="FI96" s="103"/>
      <c r="FJ96" s="103"/>
      <c r="FK96" s="103"/>
      <c r="FL96" s="103"/>
      <c r="FM96" s="103"/>
      <c r="FN96" s="103"/>
      <c r="FO96" s="103"/>
      <c r="FP96" s="103"/>
      <c r="FQ96" s="103"/>
      <c r="FR96" s="103"/>
      <c r="FS96" s="103"/>
      <c r="FT96" s="103"/>
      <c r="FU96" s="103"/>
      <c r="FV96" s="103"/>
      <c r="FW96" s="103"/>
      <c r="FX96" s="103"/>
      <c r="FY96" s="103"/>
      <c r="FZ96" s="103"/>
      <c r="GA96" s="103"/>
      <c r="GB96" s="103"/>
      <c r="GC96" s="103"/>
      <c r="GD96" s="103"/>
      <c r="GE96" s="103"/>
      <c r="GF96" s="103"/>
      <c r="GG96" s="103"/>
      <c r="GH96" s="103"/>
      <c r="GI96" s="103"/>
      <c r="GJ96" s="103"/>
      <c r="GK96" s="103"/>
      <c r="GL96" s="103"/>
      <c r="GM96" s="103"/>
      <c r="GN96" s="103"/>
      <c r="GO96" s="103"/>
      <c r="GP96" s="103"/>
      <c r="GQ96" s="103"/>
      <c r="GR96" s="103"/>
      <c r="GS96" s="103"/>
      <c r="GT96" s="103"/>
      <c r="GU96" s="103"/>
      <c r="GV96" s="103"/>
      <c r="GW96" s="103"/>
      <c r="GX96" s="103"/>
      <c r="GY96" s="103"/>
      <c r="GZ96" s="103"/>
      <c r="HA96" s="103"/>
      <c r="HB96" s="103"/>
      <c r="HC96" s="103"/>
      <c r="HD96" s="103"/>
      <c r="HE96" s="103"/>
      <c r="HF96" s="103"/>
      <c r="HG96" s="103"/>
      <c r="HH96" s="103"/>
      <c r="HI96" s="103"/>
      <c r="HJ96" s="103"/>
      <c r="HK96" s="103"/>
      <c r="HL96" s="103"/>
      <c r="HM96" s="103"/>
      <c r="HN96" s="103"/>
      <c r="HO96" s="103"/>
      <c r="HP96" s="103"/>
      <c r="HQ96" s="103"/>
      <c r="HR96" s="103"/>
      <c r="HS96" s="103"/>
      <c r="HT96" s="103"/>
      <c r="HU96" s="103"/>
      <c r="HV96" s="103"/>
      <c r="HW96" s="103"/>
      <c r="HX96" s="103"/>
      <c r="HY96" s="103"/>
      <c r="HZ96" s="103"/>
      <c r="IA96" s="103"/>
      <c r="IB96" s="103"/>
      <c r="IC96" s="103"/>
      <c r="ID96" s="103"/>
      <c r="IE96" s="103"/>
      <c r="IF96" s="103"/>
      <c r="IG96" s="103"/>
      <c r="IH96" s="103"/>
      <c r="II96" s="103"/>
      <c r="IJ96" s="103"/>
      <c r="IK96" s="103"/>
      <c r="IL96" s="103"/>
      <c r="IM96" s="103"/>
      <c r="IN96" s="103"/>
      <c r="IO96" s="103"/>
      <c r="IP96" s="103"/>
      <c r="IQ96" s="103"/>
      <c r="IR96" s="103"/>
      <c r="IS96" s="103"/>
      <c r="IT96" s="103"/>
      <c r="IU96" s="103"/>
      <c r="IV96" s="103"/>
    </row>
    <row r="97" spans="1:22" s="120" customFormat="1" ht="27.75" customHeight="1">
      <c r="A97" s="656" t="s">
        <v>126</v>
      </c>
      <c r="B97" s="649" t="s">
        <v>127</v>
      </c>
      <c r="C97" s="649" t="s">
        <v>9</v>
      </c>
      <c r="D97" s="649" t="s">
        <v>128</v>
      </c>
      <c r="E97" s="659" t="s">
        <v>129</v>
      </c>
      <c r="F97" s="687" t="s">
        <v>130</v>
      </c>
      <c r="G97" s="659" t="s">
        <v>131</v>
      </c>
      <c r="H97" s="659" t="s">
        <v>132</v>
      </c>
      <c r="I97" s="649" t="s">
        <v>133</v>
      </c>
      <c r="J97" s="649" t="s">
        <v>134</v>
      </c>
      <c r="K97" s="649" t="s">
        <v>135</v>
      </c>
      <c r="L97" s="649" t="s">
        <v>136</v>
      </c>
      <c r="M97" s="649" t="s">
        <v>137</v>
      </c>
      <c r="N97" s="649" t="s">
        <v>138</v>
      </c>
      <c r="O97" s="649" t="s">
        <v>139</v>
      </c>
      <c r="P97" s="649" t="s">
        <v>140</v>
      </c>
      <c r="Q97" s="659" t="s">
        <v>141</v>
      </c>
      <c r="R97" s="659" t="s">
        <v>142</v>
      </c>
      <c r="S97" s="659" t="s">
        <v>130</v>
      </c>
      <c r="T97" s="659" t="s">
        <v>134</v>
      </c>
      <c r="U97" s="659" t="s">
        <v>136</v>
      </c>
      <c r="V97" s="659" t="s">
        <v>139</v>
      </c>
    </row>
    <row r="98" spans="1:22" s="120" customFormat="1" ht="27.75" customHeight="1">
      <c r="A98" s="657"/>
      <c r="B98" s="652"/>
      <c r="C98" s="652"/>
      <c r="D98" s="650"/>
      <c r="E98" s="660"/>
      <c r="F98" s="688"/>
      <c r="G98" s="660"/>
      <c r="H98" s="660"/>
      <c r="I98" s="650"/>
      <c r="J98" s="652"/>
      <c r="K98" s="652"/>
      <c r="L98" s="654"/>
      <c r="M98" s="652"/>
      <c r="N98" s="652"/>
      <c r="O98" s="652"/>
      <c r="P98" s="652"/>
      <c r="Q98" s="660"/>
      <c r="R98" s="660"/>
      <c r="S98" s="660"/>
      <c r="T98" s="660"/>
      <c r="U98" s="660"/>
      <c r="V98" s="660"/>
    </row>
    <row r="99" spans="1:22" s="120" customFormat="1" ht="27.75" customHeight="1">
      <c r="A99" s="657"/>
      <c r="B99" s="652"/>
      <c r="C99" s="652"/>
      <c r="D99" s="650"/>
      <c r="E99" s="660"/>
      <c r="F99" s="688"/>
      <c r="G99" s="660"/>
      <c r="H99" s="660"/>
      <c r="I99" s="650"/>
      <c r="J99" s="652"/>
      <c r="K99" s="652"/>
      <c r="L99" s="654"/>
      <c r="M99" s="652"/>
      <c r="N99" s="652"/>
      <c r="O99" s="652"/>
      <c r="P99" s="652"/>
      <c r="Q99" s="660"/>
      <c r="R99" s="660"/>
      <c r="S99" s="660"/>
      <c r="T99" s="660"/>
      <c r="U99" s="660"/>
      <c r="V99" s="660"/>
    </row>
    <row r="100" spans="1:22" s="120" customFormat="1" ht="48" customHeight="1">
      <c r="A100" s="658"/>
      <c r="B100" s="653"/>
      <c r="C100" s="653"/>
      <c r="D100" s="651"/>
      <c r="E100" s="661"/>
      <c r="F100" s="689"/>
      <c r="G100" s="661"/>
      <c r="H100" s="661"/>
      <c r="I100" s="651"/>
      <c r="J100" s="653"/>
      <c r="K100" s="653"/>
      <c r="L100" s="655"/>
      <c r="M100" s="653"/>
      <c r="N100" s="653"/>
      <c r="O100" s="653"/>
      <c r="P100" s="653"/>
      <c r="Q100" s="661"/>
      <c r="R100" s="661"/>
      <c r="S100" s="661"/>
      <c r="T100" s="661"/>
      <c r="U100" s="661"/>
      <c r="V100" s="661"/>
    </row>
    <row r="101" spans="1:22" s="203" customFormat="1" ht="244.5" customHeight="1">
      <c r="A101" s="588" t="s">
        <v>573</v>
      </c>
      <c r="B101" s="196" t="s">
        <v>293</v>
      </c>
      <c r="C101" s="196" t="s">
        <v>294</v>
      </c>
      <c r="D101" s="197" t="s">
        <v>295</v>
      </c>
      <c r="E101" s="198" t="s">
        <v>296</v>
      </c>
      <c r="F101" s="197">
        <v>6</v>
      </c>
      <c r="G101" s="197"/>
      <c r="H101" s="198" t="s">
        <v>297</v>
      </c>
      <c r="I101" s="198" t="s">
        <v>298</v>
      </c>
      <c r="J101" s="197">
        <v>3</v>
      </c>
      <c r="K101" s="199" t="s">
        <v>299</v>
      </c>
      <c r="L101" s="200">
        <v>5</v>
      </c>
      <c r="M101" s="197">
        <v>635</v>
      </c>
      <c r="N101" s="201">
        <v>35</v>
      </c>
      <c r="O101" s="202">
        <f>F101*J101*L101</f>
        <v>90</v>
      </c>
      <c r="P101" s="198" t="s">
        <v>300</v>
      </c>
      <c r="Q101" s="197" t="s">
        <v>301</v>
      </c>
      <c r="R101" s="198" t="s">
        <v>180</v>
      </c>
      <c r="S101" s="197">
        <v>6</v>
      </c>
      <c r="T101" s="197">
        <v>3</v>
      </c>
      <c r="U101" s="197">
        <v>4</v>
      </c>
      <c r="V101" s="197">
        <f>S101*T101*U101</f>
        <v>72</v>
      </c>
    </row>
  </sheetData>
  <mergeCells count="369">
    <mergeCell ref="A28:A30"/>
    <mergeCell ref="B28:B30"/>
    <mergeCell ref="C28:C30"/>
    <mergeCell ref="O28:Q28"/>
    <mergeCell ref="A61:E63"/>
    <mergeCell ref="F61:O63"/>
    <mergeCell ref="A13:A15"/>
    <mergeCell ref="B13:B15"/>
    <mergeCell ref="A16:E18"/>
    <mergeCell ref="A19:B19"/>
    <mergeCell ref="C19:E19"/>
    <mergeCell ref="F19:G19"/>
    <mergeCell ref="H19:K19"/>
    <mergeCell ref="A20:C20"/>
    <mergeCell ref="D20:K20"/>
    <mergeCell ref="F16:O18"/>
    <mergeCell ref="P16:V16"/>
    <mergeCell ref="P17:V17"/>
    <mergeCell ref="P18:V18"/>
    <mergeCell ref="L19:O19"/>
    <mergeCell ref="L20:O20"/>
    <mergeCell ref="L21:O21"/>
    <mergeCell ref="R22:V22"/>
    <mergeCell ref="R23:U23"/>
    <mergeCell ref="R39:R42"/>
    <mergeCell ref="S39:S42"/>
    <mergeCell ref="T39:T42"/>
    <mergeCell ref="U39:U42"/>
    <mergeCell ref="V39:V42"/>
    <mergeCell ref="F24:F27"/>
    <mergeCell ref="G24:G27"/>
    <mergeCell ref="H24:H27"/>
    <mergeCell ref="I24:I27"/>
    <mergeCell ref="J24:J27"/>
    <mergeCell ref="K24:K27"/>
    <mergeCell ref="L24:L27"/>
    <mergeCell ref="M24:M27"/>
    <mergeCell ref="I38:K38"/>
    <mergeCell ref="L38:O38"/>
    <mergeCell ref="F31:O33"/>
    <mergeCell ref="D35:K35"/>
    <mergeCell ref="L35:O35"/>
    <mergeCell ref="D24:D27"/>
    <mergeCell ref="E24:E27"/>
    <mergeCell ref="H54:H57"/>
    <mergeCell ref="I54:I57"/>
    <mergeCell ref="J54:J57"/>
    <mergeCell ref="K54:K57"/>
    <mergeCell ref="L54:L57"/>
    <mergeCell ref="M54:M57"/>
    <mergeCell ref="N54:N57"/>
    <mergeCell ref="O54:O57"/>
    <mergeCell ref="P51:V51"/>
    <mergeCell ref="F52:H52"/>
    <mergeCell ref="I52:K52"/>
    <mergeCell ref="L52:O52"/>
    <mergeCell ref="R52:V52"/>
    <mergeCell ref="C53:H53"/>
    <mergeCell ref="I53:K53"/>
    <mergeCell ref="L53:O53"/>
    <mergeCell ref="B39:B42"/>
    <mergeCell ref="C39:C42"/>
    <mergeCell ref="D39:D42"/>
    <mergeCell ref="E39:E42"/>
    <mergeCell ref="C54:C57"/>
    <mergeCell ref="D54:D57"/>
    <mergeCell ref="E54:E57"/>
    <mergeCell ref="F54:F57"/>
    <mergeCell ref="G54:G57"/>
    <mergeCell ref="D52:E52"/>
    <mergeCell ref="A53:B53"/>
    <mergeCell ref="P54:P57"/>
    <mergeCell ref="Q54:Q57"/>
    <mergeCell ref="M39:M42"/>
    <mergeCell ref="N39:N42"/>
    <mergeCell ref="O39:O42"/>
    <mergeCell ref="A58:A60"/>
    <mergeCell ref="B58:B60"/>
    <mergeCell ref="A51:C51"/>
    <mergeCell ref="A54:A57"/>
    <mergeCell ref="B54:B57"/>
    <mergeCell ref="D51:K51"/>
    <mergeCell ref="L51:O51"/>
    <mergeCell ref="A50:C50"/>
    <mergeCell ref="D50:K50"/>
    <mergeCell ref="L50:O50"/>
    <mergeCell ref="P50:V50"/>
    <mergeCell ref="L39:L42"/>
    <mergeCell ref="R53:U53"/>
    <mergeCell ref="R54:R57"/>
    <mergeCell ref="S54:S57"/>
    <mergeCell ref="T54:T57"/>
    <mergeCell ref="U54:U57"/>
    <mergeCell ref="V54:V57"/>
    <mergeCell ref="A39:A42"/>
    <mergeCell ref="R38:U38"/>
    <mergeCell ref="A43:A45"/>
    <mergeCell ref="B43:B45"/>
    <mergeCell ref="A46:E48"/>
    <mergeCell ref="F46:O48"/>
    <mergeCell ref="P46:V46"/>
    <mergeCell ref="P47:V47"/>
    <mergeCell ref="P48:V48"/>
    <mergeCell ref="A49:B49"/>
    <mergeCell ref="C49:E49"/>
    <mergeCell ref="F49:G49"/>
    <mergeCell ref="H49:K49"/>
    <mergeCell ref="L49:O49"/>
    <mergeCell ref="P49:V49"/>
    <mergeCell ref="F39:F42"/>
    <mergeCell ref="G39:G42"/>
    <mergeCell ref="H39:H42"/>
    <mergeCell ref="I39:I42"/>
    <mergeCell ref="J39:J42"/>
    <mergeCell ref="P39:P42"/>
    <mergeCell ref="Q39:Q42"/>
    <mergeCell ref="A38:B38"/>
    <mergeCell ref="C38:H38"/>
    <mergeCell ref="K39:K42"/>
    <mergeCell ref="P31:V31"/>
    <mergeCell ref="P32:V32"/>
    <mergeCell ref="P33:V33"/>
    <mergeCell ref="A34:B34"/>
    <mergeCell ref="C34:E34"/>
    <mergeCell ref="F34:G34"/>
    <mergeCell ref="H34:K34"/>
    <mergeCell ref="L34:O34"/>
    <mergeCell ref="P34:V34"/>
    <mergeCell ref="A31:E33"/>
    <mergeCell ref="P35:V35"/>
    <mergeCell ref="A36:C36"/>
    <mergeCell ref="D36:K36"/>
    <mergeCell ref="L36:O36"/>
    <mergeCell ref="P36:V36"/>
    <mergeCell ref="D37:E37"/>
    <mergeCell ref="F37:H37"/>
    <mergeCell ref="I37:K37"/>
    <mergeCell ref="L37:O37"/>
    <mergeCell ref="R37:V37"/>
    <mergeCell ref="A35:C35"/>
    <mergeCell ref="A1:E3"/>
    <mergeCell ref="F1:O3"/>
    <mergeCell ref="P1:V1"/>
    <mergeCell ref="P2:V2"/>
    <mergeCell ref="P3:V3"/>
    <mergeCell ref="A4:B4"/>
    <mergeCell ref="C4:E4"/>
    <mergeCell ref="F4:G4"/>
    <mergeCell ref="H4:K4"/>
    <mergeCell ref="L4:O4"/>
    <mergeCell ref="P4:V4"/>
    <mergeCell ref="D9:D12"/>
    <mergeCell ref="E9:E12"/>
    <mergeCell ref="F9:F12"/>
    <mergeCell ref="D7:E7"/>
    <mergeCell ref="F7:H7"/>
    <mergeCell ref="I7:K7"/>
    <mergeCell ref="L7:O7"/>
    <mergeCell ref="R7:V7"/>
    <mergeCell ref="A8:B8"/>
    <mergeCell ref="C8:H8"/>
    <mergeCell ref="I8:K8"/>
    <mergeCell ref="L8:O8"/>
    <mergeCell ref="R8:U8"/>
    <mergeCell ref="A9:A12"/>
    <mergeCell ref="B9:B12"/>
    <mergeCell ref="C9:C12"/>
    <mergeCell ref="A5:C5"/>
    <mergeCell ref="D5:K5"/>
    <mergeCell ref="L5:O5"/>
    <mergeCell ref="P5:V5"/>
    <mergeCell ref="A6:C6"/>
    <mergeCell ref="D6:K6"/>
    <mergeCell ref="L6:O6"/>
    <mergeCell ref="P6:V6"/>
    <mergeCell ref="S9:S12"/>
    <mergeCell ref="T9:T12"/>
    <mergeCell ref="U9:U12"/>
    <mergeCell ref="V9:V12"/>
    <mergeCell ref="M9:M12"/>
    <mergeCell ref="N9:N12"/>
    <mergeCell ref="O9:O12"/>
    <mergeCell ref="P9:P12"/>
    <mergeCell ref="Q9:Q12"/>
    <mergeCell ref="R9:R12"/>
    <mergeCell ref="G9:G12"/>
    <mergeCell ref="H9:H12"/>
    <mergeCell ref="I9:I12"/>
    <mergeCell ref="J9:J12"/>
    <mergeCell ref="K9:K12"/>
    <mergeCell ref="L9:L12"/>
    <mergeCell ref="C23:H23"/>
    <mergeCell ref="I23:K23"/>
    <mergeCell ref="P19:V19"/>
    <mergeCell ref="P20:V20"/>
    <mergeCell ref="P21:V21"/>
    <mergeCell ref="L22:O22"/>
    <mergeCell ref="L23:O23"/>
    <mergeCell ref="N24:N27"/>
    <mergeCell ref="O24:O27"/>
    <mergeCell ref="P24:P27"/>
    <mergeCell ref="Q24:Q27"/>
    <mergeCell ref="R24:R27"/>
    <mergeCell ref="S24:S27"/>
    <mergeCell ref="T24:T27"/>
    <mergeCell ref="U24:U27"/>
    <mergeCell ref="A21:C21"/>
    <mergeCell ref="D21:K21"/>
    <mergeCell ref="D22:E22"/>
    <mergeCell ref="F22:H22"/>
    <mergeCell ref="I22:K22"/>
    <mergeCell ref="A23:B23"/>
    <mergeCell ref="A24:A27"/>
    <mergeCell ref="B24:B27"/>
    <mergeCell ref="C24:C27"/>
    <mergeCell ref="P61:V61"/>
    <mergeCell ref="P62:V62"/>
    <mergeCell ref="P63:V63"/>
    <mergeCell ref="A64:B64"/>
    <mergeCell ref="C64:E64"/>
    <mergeCell ref="F64:G64"/>
    <mergeCell ref="H64:K64"/>
    <mergeCell ref="L64:O64"/>
    <mergeCell ref="F69:F72"/>
    <mergeCell ref="D67:E67"/>
    <mergeCell ref="F67:H67"/>
    <mergeCell ref="I67:K67"/>
    <mergeCell ref="L67:O67"/>
    <mergeCell ref="R67:V67"/>
    <mergeCell ref="A68:B68"/>
    <mergeCell ref="C68:H68"/>
    <mergeCell ref="I68:K68"/>
    <mergeCell ref="L68:O68"/>
    <mergeCell ref="R68:U68"/>
    <mergeCell ref="P64:V64"/>
    <mergeCell ref="A65:C65"/>
    <mergeCell ref="D65:K65"/>
    <mergeCell ref="L65:O65"/>
    <mergeCell ref="P65:V65"/>
    <mergeCell ref="A66:C66"/>
    <mergeCell ref="D66:K66"/>
    <mergeCell ref="L66:O66"/>
    <mergeCell ref="P66:V66"/>
    <mergeCell ref="A79:B79"/>
    <mergeCell ref="C79:E79"/>
    <mergeCell ref="F79:G79"/>
    <mergeCell ref="H79:K79"/>
    <mergeCell ref="L79:O79"/>
    <mergeCell ref="P79:V79"/>
    <mergeCell ref="S69:S72"/>
    <mergeCell ref="T69:T72"/>
    <mergeCell ref="U69:U72"/>
    <mergeCell ref="V69:V72"/>
    <mergeCell ref="A76:E78"/>
    <mergeCell ref="F76:O78"/>
    <mergeCell ref="P76:V76"/>
    <mergeCell ref="P77:V77"/>
    <mergeCell ref="P78:V78"/>
    <mergeCell ref="M69:M72"/>
    <mergeCell ref="N69:N72"/>
    <mergeCell ref="O69:O72"/>
    <mergeCell ref="P69:P72"/>
    <mergeCell ref="Q69:Q72"/>
    <mergeCell ref="A84:A87"/>
    <mergeCell ref="B84:B87"/>
    <mergeCell ref="R69:R72"/>
    <mergeCell ref="G69:G72"/>
    <mergeCell ref="H69:H72"/>
    <mergeCell ref="I69:I72"/>
    <mergeCell ref="J69:J72"/>
    <mergeCell ref="K69:K72"/>
    <mergeCell ref="L69:L72"/>
    <mergeCell ref="A69:A72"/>
    <mergeCell ref="B69:B72"/>
    <mergeCell ref="C69:C72"/>
    <mergeCell ref="D69:D72"/>
    <mergeCell ref="E69:E72"/>
    <mergeCell ref="A73:A75"/>
    <mergeCell ref="B73:B75"/>
    <mergeCell ref="C73:C75"/>
    <mergeCell ref="N84:N87"/>
    <mergeCell ref="O84:O87"/>
    <mergeCell ref="P84:P87"/>
    <mergeCell ref="Q84:Q87"/>
    <mergeCell ref="R84:R87"/>
    <mergeCell ref="G84:G87"/>
    <mergeCell ref="H84:H87"/>
    <mergeCell ref="I84:I87"/>
    <mergeCell ref="J84:J87"/>
    <mergeCell ref="K84:K87"/>
    <mergeCell ref="L84:L87"/>
    <mergeCell ref="D82:E82"/>
    <mergeCell ref="F82:H82"/>
    <mergeCell ref="I82:K82"/>
    <mergeCell ref="L82:O82"/>
    <mergeCell ref="R82:V82"/>
    <mergeCell ref="A83:B83"/>
    <mergeCell ref="C83:H83"/>
    <mergeCell ref="I83:K83"/>
    <mergeCell ref="L83:O83"/>
    <mergeCell ref="R83:U83"/>
    <mergeCell ref="A80:C80"/>
    <mergeCell ref="D80:K80"/>
    <mergeCell ref="L80:O80"/>
    <mergeCell ref="P80:V80"/>
    <mergeCell ref="A81:C81"/>
    <mergeCell ref="D81:K81"/>
    <mergeCell ref="L81:O81"/>
    <mergeCell ref="P81:V81"/>
    <mergeCell ref="A92:B92"/>
    <mergeCell ref="C92:E92"/>
    <mergeCell ref="F92:G92"/>
    <mergeCell ref="H92:K92"/>
    <mergeCell ref="L92:O92"/>
    <mergeCell ref="P92:V92"/>
    <mergeCell ref="S84:S87"/>
    <mergeCell ref="T84:T87"/>
    <mergeCell ref="U84:U87"/>
    <mergeCell ref="V84:V87"/>
    <mergeCell ref="A89:E91"/>
    <mergeCell ref="F89:O91"/>
    <mergeCell ref="P89:V89"/>
    <mergeCell ref="P90:V90"/>
    <mergeCell ref="P91:V91"/>
    <mergeCell ref="M84:M87"/>
    <mergeCell ref="C84:C87"/>
    <mergeCell ref="D84:D87"/>
    <mergeCell ref="E84:E87"/>
    <mergeCell ref="B97:B100"/>
    <mergeCell ref="C97:C100"/>
    <mergeCell ref="D97:D100"/>
    <mergeCell ref="E97:E100"/>
    <mergeCell ref="F97:F100"/>
    <mergeCell ref="D95:E95"/>
    <mergeCell ref="F95:H95"/>
    <mergeCell ref="G97:G100"/>
    <mergeCell ref="H97:H100"/>
    <mergeCell ref="F84:F87"/>
    <mergeCell ref="I95:K95"/>
    <mergeCell ref="L95:O95"/>
    <mergeCell ref="R95:V95"/>
    <mergeCell ref="A96:B96"/>
    <mergeCell ref="C96:H96"/>
    <mergeCell ref="I96:K96"/>
    <mergeCell ref="L96:O96"/>
    <mergeCell ref="R96:U96"/>
    <mergeCell ref="A93:C93"/>
    <mergeCell ref="D93:K93"/>
    <mergeCell ref="L93:O93"/>
    <mergeCell ref="P93:V93"/>
    <mergeCell ref="A94:C94"/>
    <mergeCell ref="D94:K94"/>
    <mergeCell ref="L94:O94"/>
    <mergeCell ref="P94:V94"/>
    <mergeCell ref="I97:I100"/>
    <mergeCell ref="J97:J100"/>
    <mergeCell ref="K97:K100"/>
    <mergeCell ref="L97:L100"/>
    <mergeCell ref="A97:A100"/>
    <mergeCell ref="S97:S100"/>
    <mergeCell ref="T97:T100"/>
    <mergeCell ref="U97:U100"/>
    <mergeCell ref="V97:V100"/>
    <mergeCell ref="M97:M100"/>
    <mergeCell ref="N97:N100"/>
    <mergeCell ref="O97:O100"/>
    <mergeCell ref="P97:P100"/>
    <mergeCell ref="Q97:Q100"/>
    <mergeCell ref="R97:R100"/>
  </mergeCells>
  <printOptions horizontalCentered="1"/>
  <pageMargins left="0.1" right="0.1" top="0.6" bottom="0.1" header="0.3" footer="0.3"/>
  <pageSetup paperSize="9" scale="33" orientation="landscape" verticalDpi="1200" r:id="rId1"/>
  <headerFooter>
    <oddFooter>&amp;LPrepared By:&amp;RApproved By:</oddFooter>
  </headerFooter>
  <rowBreaks count="6" manualBreakCount="6">
    <brk id="23" max="21" man="1"/>
    <brk id="30" max="16383" man="1"/>
    <brk id="45" max="16383" man="1"/>
    <brk id="60" max="21" man="1"/>
    <brk id="75" max="21" man="1"/>
    <brk id="8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IS63"/>
  <sheetViews>
    <sheetView view="pageBreakPreview" topLeftCell="A52" zoomScale="30" zoomScaleNormal="28" zoomScaleSheetLayoutView="30" workbookViewId="0">
      <selection activeCell="B43" sqref="B43:B55"/>
    </sheetView>
  </sheetViews>
  <sheetFormatPr defaultRowHeight="12.75"/>
  <cols>
    <col min="1" max="1" width="23.140625" style="166" customWidth="1"/>
    <col min="2" max="2" width="39.42578125" style="91" customWidth="1"/>
    <col min="3" max="3" width="35" style="91" customWidth="1"/>
    <col min="4" max="4" width="28.140625" style="91" customWidth="1"/>
    <col min="5" max="5" width="60" style="167" customWidth="1"/>
    <col min="6" max="6" width="28.140625" style="168" customWidth="1"/>
    <col min="7" max="7" width="21.140625" style="91" customWidth="1"/>
    <col min="8" max="8" width="46.85546875" style="167" customWidth="1"/>
    <col min="9" max="9" width="38.28515625" style="168" customWidth="1"/>
    <col min="10" max="10" width="19.85546875" style="91" customWidth="1"/>
    <col min="11" max="11" width="28.5703125" style="91" customWidth="1"/>
    <col min="12" max="12" width="44.42578125" style="168" customWidth="1"/>
    <col min="13" max="13" width="35.140625" style="91" customWidth="1"/>
    <col min="14" max="14" width="36.5703125" style="91" customWidth="1"/>
    <col min="15" max="15" width="49.42578125" style="91" customWidth="1"/>
    <col min="16" max="72" width="9.140625" style="97"/>
    <col min="73" max="256" width="9.140625" style="91"/>
    <col min="257" max="257" width="23.140625" style="91" customWidth="1"/>
    <col min="258" max="258" width="39.42578125" style="91" customWidth="1"/>
    <col min="259" max="259" width="31.140625" style="91" customWidth="1"/>
    <col min="260" max="260" width="28.140625" style="91" customWidth="1"/>
    <col min="261" max="261" width="49.140625" style="91" customWidth="1"/>
    <col min="262" max="262" width="28.140625" style="91" customWidth="1"/>
    <col min="263" max="263" width="21.140625" style="91" customWidth="1"/>
    <col min="264" max="264" width="46.85546875" style="91" customWidth="1"/>
    <col min="265" max="265" width="38.28515625" style="91" customWidth="1"/>
    <col min="266" max="266" width="19.85546875" style="91" customWidth="1"/>
    <col min="267" max="267" width="28.5703125" style="91" customWidth="1"/>
    <col min="268" max="268" width="44.42578125" style="91" customWidth="1"/>
    <col min="269" max="269" width="35.140625" style="91" customWidth="1"/>
    <col min="270" max="270" width="36.5703125" style="91" customWidth="1"/>
    <col min="271" max="271" width="49.42578125" style="91" customWidth="1"/>
    <col min="272" max="512" width="9.140625" style="91"/>
    <col min="513" max="513" width="23.140625" style="91" customWidth="1"/>
    <col min="514" max="514" width="39.42578125" style="91" customWidth="1"/>
    <col min="515" max="515" width="31.140625" style="91" customWidth="1"/>
    <col min="516" max="516" width="28.140625" style="91" customWidth="1"/>
    <col min="517" max="517" width="49.140625" style="91" customWidth="1"/>
    <col min="518" max="518" width="28.140625" style="91" customWidth="1"/>
    <col min="519" max="519" width="21.140625" style="91" customWidth="1"/>
    <col min="520" max="520" width="46.85546875" style="91" customWidth="1"/>
    <col min="521" max="521" width="38.28515625" style="91" customWidth="1"/>
    <col min="522" max="522" width="19.85546875" style="91" customWidth="1"/>
    <col min="523" max="523" width="28.5703125" style="91" customWidth="1"/>
    <col min="524" max="524" width="44.42578125" style="91" customWidth="1"/>
    <col min="525" max="525" width="35.140625" style="91" customWidth="1"/>
    <col min="526" max="526" width="36.5703125" style="91" customWidth="1"/>
    <col min="527" max="527" width="49.42578125" style="91" customWidth="1"/>
    <col min="528" max="768" width="9.140625" style="91"/>
    <col min="769" max="769" width="23.140625" style="91" customWidth="1"/>
    <col min="770" max="770" width="39.42578125" style="91" customWidth="1"/>
    <col min="771" max="771" width="31.140625" style="91" customWidth="1"/>
    <col min="772" max="772" width="28.140625" style="91" customWidth="1"/>
    <col min="773" max="773" width="49.140625" style="91" customWidth="1"/>
    <col min="774" max="774" width="28.140625" style="91" customWidth="1"/>
    <col min="775" max="775" width="21.140625" style="91" customWidth="1"/>
    <col min="776" max="776" width="46.85546875" style="91" customWidth="1"/>
    <col min="777" max="777" width="38.28515625" style="91" customWidth="1"/>
    <col min="778" max="778" width="19.85546875" style="91" customWidth="1"/>
    <col min="779" max="779" width="28.5703125" style="91" customWidth="1"/>
    <col min="780" max="780" width="44.42578125" style="91" customWidth="1"/>
    <col min="781" max="781" width="35.140625" style="91" customWidth="1"/>
    <col min="782" max="782" width="36.5703125" style="91" customWidth="1"/>
    <col min="783" max="783" width="49.42578125" style="91" customWidth="1"/>
    <col min="784" max="1024" width="9.140625" style="91"/>
    <col min="1025" max="1025" width="23.140625" style="91" customWidth="1"/>
    <col min="1026" max="1026" width="39.42578125" style="91" customWidth="1"/>
    <col min="1027" max="1027" width="31.140625" style="91" customWidth="1"/>
    <col min="1028" max="1028" width="28.140625" style="91" customWidth="1"/>
    <col min="1029" max="1029" width="49.140625" style="91" customWidth="1"/>
    <col min="1030" max="1030" width="28.140625" style="91" customWidth="1"/>
    <col min="1031" max="1031" width="21.140625" style="91" customWidth="1"/>
    <col min="1032" max="1032" width="46.85546875" style="91" customWidth="1"/>
    <col min="1033" max="1033" width="38.28515625" style="91" customWidth="1"/>
    <col min="1034" max="1034" width="19.85546875" style="91" customWidth="1"/>
    <col min="1035" max="1035" width="28.5703125" style="91" customWidth="1"/>
    <col min="1036" max="1036" width="44.42578125" style="91" customWidth="1"/>
    <col min="1037" max="1037" width="35.140625" style="91" customWidth="1"/>
    <col min="1038" max="1038" width="36.5703125" style="91" customWidth="1"/>
    <col min="1039" max="1039" width="49.42578125" style="91" customWidth="1"/>
    <col min="1040" max="1280" width="9.140625" style="91"/>
    <col min="1281" max="1281" width="23.140625" style="91" customWidth="1"/>
    <col min="1282" max="1282" width="39.42578125" style="91" customWidth="1"/>
    <col min="1283" max="1283" width="31.140625" style="91" customWidth="1"/>
    <col min="1284" max="1284" width="28.140625" style="91" customWidth="1"/>
    <col min="1285" max="1285" width="49.140625" style="91" customWidth="1"/>
    <col min="1286" max="1286" width="28.140625" style="91" customWidth="1"/>
    <col min="1287" max="1287" width="21.140625" style="91" customWidth="1"/>
    <col min="1288" max="1288" width="46.85546875" style="91" customWidth="1"/>
    <col min="1289" max="1289" width="38.28515625" style="91" customWidth="1"/>
    <col min="1290" max="1290" width="19.85546875" style="91" customWidth="1"/>
    <col min="1291" max="1291" width="28.5703125" style="91" customWidth="1"/>
    <col min="1292" max="1292" width="44.42578125" style="91" customWidth="1"/>
    <col min="1293" max="1293" width="35.140625" style="91" customWidth="1"/>
    <col min="1294" max="1294" width="36.5703125" style="91" customWidth="1"/>
    <col min="1295" max="1295" width="49.42578125" style="91" customWidth="1"/>
    <col min="1296" max="1536" width="9.140625" style="91"/>
    <col min="1537" max="1537" width="23.140625" style="91" customWidth="1"/>
    <col min="1538" max="1538" width="39.42578125" style="91" customWidth="1"/>
    <col min="1539" max="1539" width="31.140625" style="91" customWidth="1"/>
    <col min="1540" max="1540" width="28.140625" style="91" customWidth="1"/>
    <col min="1541" max="1541" width="49.140625" style="91" customWidth="1"/>
    <col min="1542" max="1542" width="28.140625" style="91" customWidth="1"/>
    <col min="1543" max="1543" width="21.140625" style="91" customWidth="1"/>
    <col min="1544" max="1544" width="46.85546875" style="91" customWidth="1"/>
    <col min="1545" max="1545" width="38.28515625" style="91" customWidth="1"/>
    <col min="1546" max="1546" width="19.85546875" style="91" customWidth="1"/>
    <col min="1547" max="1547" width="28.5703125" style="91" customWidth="1"/>
    <col min="1548" max="1548" width="44.42578125" style="91" customWidth="1"/>
    <col min="1549" max="1549" width="35.140625" style="91" customWidth="1"/>
    <col min="1550" max="1550" width="36.5703125" style="91" customWidth="1"/>
    <col min="1551" max="1551" width="49.42578125" style="91" customWidth="1"/>
    <col min="1552" max="1792" width="9.140625" style="91"/>
    <col min="1793" max="1793" width="23.140625" style="91" customWidth="1"/>
    <col min="1794" max="1794" width="39.42578125" style="91" customWidth="1"/>
    <col min="1795" max="1795" width="31.140625" style="91" customWidth="1"/>
    <col min="1796" max="1796" width="28.140625" style="91" customWidth="1"/>
    <col min="1797" max="1797" width="49.140625" style="91" customWidth="1"/>
    <col min="1798" max="1798" width="28.140625" style="91" customWidth="1"/>
    <col min="1799" max="1799" width="21.140625" style="91" customWidth="1"/>
    <col min="1800" max="1800" width="46.85546875" style="91" customWidth="1"/>
    <col min="1801" max="1801" width="38.28515625" style="91" customWidth="1"/>
    <col min="1802" max="1802" width="19.85546875" style="91" customWidth="1"/>
    <col min="1803" max="1803" width="28.5703125" style="91" customWidth="1"/>
    <col min="1804" max="1804" width="44.42578125" style="91" customWidth="1"/>
    <col min="1805" max="1805" width="35.140625" style="91" customWidth="1"/>
    <col min="1806" max="1806" width="36.5703125" style="91" customWidth="1"/>
    <col min="1807" max="1807" width="49.42578125" style="91" customWidth="1"/>
    <col min="1808" max="2048" width="9.140625" style="91"/>
    <col min="2049" max="2049" width="23.140625" style="91" customWidth="1"/>
    <col min="2050" max="2050" width="39.42578125" style="91" customWidth="1"/>
    <col min="2051" max="2051" width="31.140625" style="91" customWidth="1"/>
    <col min="2052" max="2052" width="28.140625" style="91" customWidth="1"/>
    <col min="2053" max="2053" width="49.140625" style="91" customWidth="1"/>
    <col min="2054" max="2054" width="28.140625" style="91" customWidth="1"/>
    <col min="2055" max="2055" width="21.140625" style="91" customWidth="1"/>
    <col min="2056" max="2056" width="46.85546875" style="91" customWidth="1"/>
    <col min="2057" max="2057" width="38.28515625" style="91" customWidth="1"/>
    <col min="2058" max="2058" width="19.85546875" style="91" customWidth="1"/>
    <col min="2059" max="2059" width="28.5703125" style="91" customWidth="1"/>
    <col min="2060" max="2060" width="44.42578125" style="91" customWidth="1"/>
    <col min="2061" max="2061" width="35.140625" style="91" customWidth="1"/>
    <col min="2062" max="2062" width="36.5703125" style="91" customWidth="1"/>
    <col min="2063" max="2063" width="49.42578125" style="91" customWidth="1"/>
    <col min="2064" max="2304" width="9.140625" style="91"/>
    <col min="2305" max="2305" width="23.140625" style="91" customWidth="1"/>
    <col min="2306" max="2306" width="39.42578125" style="91" customWidth="1"/>
    <col min="2307" max="2307" width="31.140625" style="91" customWidth="1"/>
    <col min="2308" max="2308" width="28.140625" style="91" customWidth="1"/>
    <col min="2309" max="2309" width="49.140625" style="91" customWidth="1"/>
    <col min="2310" max="2310" width="28.140625" style="91" customWidth="1"/>
    <col min="2311" max="2311" width="21.140625" style="91" customWidth="1"/>
    <col min="2312" max="2312" width="46.85546875" style="91" customWidth="1"/>
    <col min="2313" max="2313" width="38.28515625" style="91" customWidth="1"/>
    <col min="2314" max="2314" width="19.85546875" style="91" customWidth="1"/>
    <col min="2315" max="2315" width="28.5703125" style="91" customWidth="1"/>
    <col min="2316" max="2316" width="44.42578125" style="91" customWidth="1"/>
    <col min="2317" max="2317" width="35.140625" style="91" customWidth="1"/>
    <col min="2318" max="2318" width="36.5703125" style="91" customWidth="1"/>
    <col min="2319" max="2319" width="49.42578125" style="91" customWidth="1"/>
    <col min="2320" max="2560" width="9.140625" style="91"/>
    <col min="2561" max="2561" width="23.140625" style="91" customWidth="1"/>
    <col min="2562" max="2562" width="39.42578125" style="91" customWidth="1"/>
    <col min="2563" max="2563" width="31.140625" style="91" customWidth="1"/>
    <col min="2564" max="2564" width="28.140625" style="91" customWidth="1"/>
    <col min="2565" max="2565" width="49.140625" style="91" customWidth="1"/>
    <col min="2566" max="2566" width="28.140625" style="91" customWidth="1"/>
    <col min="2567" max="2567" width="21.140625" style="91" customWidth="1"/>
    <col min="2568" max="2568" width="46.85546875" style="91" customWidth="1"/>
    <col min="2569" max="2569" width="38.28515625" style="91" customWidth="1"/>
    <col min="2570" max="2570" width="19.85546875" style="91" customWidth="1"/>
    <col min="2571" max="2571" width="28.5703125" style="91" customWidth="1"/>
    <col min="2572" max="2572" width="44.42578125" style="91" customWidth="1"/>
    <col min="2573" max="2573" width="35.140625" style="91" customWidth="1"/>
    <col min="2574" max="2574" width="36.5703125" style="91" customWidth="1"/>
    <col min="2575" max="2575" width="49.42578125" style="91" customWidth="1"/>
    <col min="2576" max="2816" width="9.140625" style="91"/>
    <col min="2817" max="2817" width="23.140625" style="91" customWidth="1"/>
    <col min="2818" max="2818" width="39.42578125" style="91" customWidth="1"/>
    <col min="2819" max="2819" width="31.140625" style="91" customWidth="1"/>
    <col min="2820" max="2820" width="28.140625" style="91" customWidth="1"/>
    <col min="2821" max="2821" width="49.140625" style="91" customWidth="1"/>
    <col min="2822" max="2822" width="28.140625" style="91" customWidth="1"/>
    <col min="2823" max="2823" width="21.140625" style="91" customWidth="1"/>
    <col min="2824" max="2824" width="46.85546875" style="91" customWidth="1"/>
    <col min="2825" max="2825" width="38.28515625" style="91" customWidth="1"/>
    <col min="2826" max="2826" width="19.85546875" style="91" customWidth="1"/>
    <col min="2827" max="2827" width="28.5703125" style="91" customWidth="1"/>
    <col min="2828" max="2828" width="44.42578125" style="91" customWidth="1"/>
    <col min="2829" max="2829" width="35.140625" style="91" customWidth="1"/>
    <col min="2830" max="2830" width="36.5703125" style="91" customWidth="1"/>
    <col min="2831" max="2831" width="49.42578125" style="91" customWidth="1"/>
    <col min="2832" max="3072" width="9.140625" style="91"/>
    <col min="3073" max="3073" width="23.140625" style="91" customWidth="1"/>
    <col min="3074" max="3074" width="39.42578125" style="91" customWidth="1"/>
    <col min="3075" max="3075" width="31.140625" style="91" customWidth="1"/>
    <col min="3076" max="3076" width="28.140625" style="91" customWidth="1"/>
    <col min="3077" max="3077" width="49.140625" style="91" customWidth="1"/>
    <col min="3078" max="3078" width="28.140625" style="91" customWidth="1"/>
    <col min="3079" max="3079" width="21.140625" style="91" customWidth="1"/>
    <col min="3080" max="3080" width="46.85546875" style="91" customWidth="1"/>
    <col min="3081" max="3081" width="38.28515625" style="91" customWidth="1"/>
    <col min="3082" max="3082" width="19.85546875" style="91" customWidth="1"/>
    <col min="3083" max="3083" width="28.5703125" style="91" customWidth="1"/>
    <col min="3084" max="3084" width="44.42578125" style="91" customWidth="1"/>
    <col min="3085" max="3085" width="35.140625" style="91" customWidth="1"/>
    <col min="3086" max="3086" width="36.5703125" style="91" customWidth="1"/>
    <col min="3087" max="3087" width="49.42578125" style="91" customWidth="1"/>
    <col min="3088" max="3328" width="9.140625" style="91"/>
    <col min="3329" max="3329" width="23.140625" style="91" customWidth="1"/>
    <col min="3330" max="3330" width="39.42578125" style="91" customWidth="1"/>
    <col min="3331" max="3331" width="31.140625" style="91" customWidth="1"/>
    <col min="3332" max="3332" width="28.140625" style="91" customWidth="1"/>
    <col min="3333" max="3333" width="49.140625" style="91" customWidth="1"/>
    <col min="3334" max="3334" width="28.140625" style="91" customWidth="1"/>
    <col min="3335" max="3335" width="21.140625" style="91" customWidth="1"/>
    <col min="3336" max="3336" width="46.85546875" style="91" customWidth="1"/>
    <col min="3337" max="3337" width="38.28515625" style="91" customWidth="1"/>
    <col min="3338" max="3338" width="19.85546875" style="91" customWidth="1"/>
    <col min="3339" max="3339" width="28.5703125" style="91" customWidth="1"/>
    <col min="3340" max="3340" width="44.42578125" style="91" customWidth="1"/>
    <col min="3341" max="3341" width="35.140625" style="91" customWidth="1"/>
    <col min="3342" max="3342" width="36.5703125" style="91" customWidth="1"/>
    <col min="3343" max="3343" width="49.42578125" style="91" customWidth="1"/>
    <col min="3344" max="3584" width="9.140625" style="91"/>
    <col min="3585" max="3585" width="23.140625" style="91" customWidth="1"/>
    <col min="3586" max="3586" width="39.42578125" style="91" customWidth="1"/>
    <col min="3587" max="3587" width="31.140625" style="91" customWidth="1"/>
    <col min="3588" max="3588" width="28.140625" style="91" customWidth="1"/>
    <col min="3589" max="3589" width="49.140625" style="91" customWidth="1"/>
    <col min="3590" max="3590" width="28.140625" style="91" customWidth="1"/>
    <col min="3591" max="3591" width="21.140625" style="91" customWidth="1"/>
    <col min="3592" max="3592" width="46.85546875" style="91" customWidth="1"/>
    <col min="3593" max="3593" width="38.28515625" style="91" customWidth="1"/>
    <col min="3594" max="3594" width="19.85546875" style="91" customWidth="1"/>
    <col min="3595" max="3595" width="28.5703125" style="91" customWidth="1"/>
    <col min="3596" max="3596" width="44.42578125" style="91" customWidth="1"/>
    <col min="3597" max="3597" width="35.140625" style="91" customWidth="1"/>
    <col min="3598" max="3598" width="36.5703125" style="91" customWidth="1"/>
    <col min="3599" max="3599" width="49.42578125" style="91" customWidth="1"/>
    <col min="3600" max="3840" width="9.140625" style="91"/>
    <col min="3841" max="3841" width="23.140625" style="91" customWidth="1"/>
    <col min="3842" max="3842" width="39.42578125" style="91" customWidth="1"/>
    <col min="3843" max="3843" width="31.140625" style="91" customWidth="1"/>
    <col min="3844" max="3844" width="28.140625" style="91" customWidth="1"/>
    <col min="3845" max="3845" width="49.140625" style="91" customWidth="1"/>
    <col min="3846" max="3846" width="28.140625" style="91" customWidth="1"/>
    <col min="3847" max="3847" width="21.140625" style="91" customWidth="1"/>
    <col min="3848" max="3848" width="46.85546875" style="91" customWidth="1"/>
    <col min="3849" max="3849" width="38.28515625" style="91" customWidth="1"/>
    <col min="3850" max="3850" width="19.85546875" style="91" customWidth="1"/>
    <col min="3851" max="3851" width="28.5703125" style="91" customWidth="1"/>
    <col min="3852" max="3852" width="44.42578125" style="91" customWidth="1"/>
    <col min="3853" max="3853" width="35.140625" style="91" customWidth="1"/>
    <col min="3854" max="3854" width="36.5703125" style="91" customWidth="1"/>
    <col min="3855" max="3855" width="49.42578125" style="91" customWidth="1"/>
    <col min="3856" max="4096" width="9.140625" style="91"/>
    <col min="4097" max="4097" width="23.140625" style="91" customWidth="1"/>
    <col min="4098" max="4098" width="39.42578125" style="91" customWidth="1"/>
    <col min="4099" max="4099" width="31.140625" style="91" customWidth="1"/>
    <col min="4100" max="4100" width="28.140625" style="91" customWidth="1"/>
    <col min="4101" max="4101" width="49.140625" style="91" customWidth="1"/>
    <col min="4102" max="4102" width="28.140625" style="91" customWidth="1"/>
    <col min="4103" max="4103" width="21.140625" style="91" customWidth="1"/>
    <col min="4104" max="4104" width="46.85546875" style="91" customWidth="1"/>
    <col min="4105" max="4105" width="38.28515625" style="91" customWidth="1"/>
    <col min="4106" max="4106" width="19.85546875" style="91" customWidth="1"/>
    <col min="4107" max="4107" width="28.5703125" style="91" customWidth="1"/>
    <col min="4108" max="4108" width="44.42578125" style="91" customWidth="1"/>
    <col min="4109" max="4109" width="35.140625" style="91" customWidth="1"/>
    <col min="4110" max="4110" width="36.5703125" style="91" customWidth="1"/>
    <col min="4111" max="4111" width="49.42578125" style="91" customWidth="1"/>
    <col min="4112" max="4352" width="9.140625" style="91"/>
    <col min="4353" max="4353" width="23.140625" style="91" customWidth="1"/>
    <col min="4354" max="4354" width="39.42578125" style="91" customWidth="1"/>
    <col min="4355" max="4355" width="31.140625" style="91" customWidth="1"/>
    <col min="4356" max="4356" width="28.140625" style="91" customWidth="1"/>
    <col min="4357" max="4357" width="49.140625" style="91" customWidth="1"/>
    <col min="4358" max="4358" width="28.140625" style="91" customWidth="1"/>
    <col min="4359" max="4359" width="21.140625" style="91" customWidth="1"/>
    <col min="4360" max="4360" width="46.85546875" style="91" customWidth="1"/>
    <col min="4361" max="4361" width="38.28515625" style="91" customWidth="1"/>
    <col min="4362" max="4362" width="19.85546875" style="91" customWidth="1"/>
    <col min="4363" max="4363" width="28.5703125" style="91" customWidth="1"/>
    <col min="4364" max="4364" width="44.42578125" style="91" customWidth="1"/>
    <col min="4365" max="4365" width="35.140625" style="91" customWidth="1"/>
    <col min="4366" max="4366" width="36.5703125" style="91" customWidth="1"/>
    <col min="4367" max="4367" width="49.42578125" style="91" customWidth="1"/>
    <col min="4368" max="4608" width="9.140625" style="91"/>
    <col min="4609" max="4609" width="23.140625" style="91" customWidth="1"/>
    <col min="4610" max="4610" width="39.42578125" style="91" customWidth="1"/>
    <col min="4611" max="4611" width="31.140625" style="91" customWidth="1"/>
    <col min="4612" max="4612" width="28.140625" style="91" customWidth="1"/>
    <col min="4613" max="4613" width="49.140625" style="91" customWidth="1"/>
    <col min="4614" max="4614" width="28.140625" style="91" customWidth="1"/>
    <col min="4615" max="4615" width="21.140625" style="91" customWidth="1"/>
    <col min="4616" max="4616" width="46.85546875" style="91" customWidth="1"/>
    <col min="4617" max="4617" width="38.28515625" style="91" customWidth="1"/>
    <col min="4618" max="4618" width="19.85546875" style="91" customWidth="1"/>
    <col min="4619" max="4619" width="28.5703125" style="91" customWidth="1"/>
    <col min="4620" max="4620" width="44.42578125" style="91" customWidth="1"/>
    <col min="4621" max="4621" width="35.140625" style="91" customWidth="1"/>
    <col min="4622" max="4622" width="36.5703125" style="91" customWidth="1"/>
    <col min="4623" max="4623" width="49.42578125" style="91" customWidth="1"/>
    <col min="4624" max="4864" width="9.140625" style="91"/>
    <col min="4865" max="4865" width="23.140625" style="91" customWidth="1"/>
    <col min="4866" max="4866" width="39.42578125" style="91" customWidth="1"/>
    <col min="4867" max="4867" width="31.140625" style="91" customWidth="1"/>
    <col min="4868" max="4868" width="28.140625" style="91" customWidth="1"/>
    <col min="4869" max="4869" width="49.140625" style="91" customWidth="1"/>
    <col min="4870" max="4870" width="28.140625" style="91" customWidth="1"/>
    <col min="4871" max="4871" width="21.140625" style="91" customWidth="1"/>
    <col min="4872" max="4872" width="46.85546875" style="91" customWidth="1"/>
    <col min="4873" max="4873" width="38.28515625" style="91" customWidth="1"/>
    <col min="4874" max="4874" width="19.85546875" style="91" customWidth="1"/>
    <col min="4875" max="4875" width="28.5703125" style="91" customWidth="1"/>
    <col min="4876" max="4876" width="44.42578125" style="91" customWidth="1"/>
    <col min="4877" max="4877" width="35.140625" style="91" customWidth="1"/>
    <col min="4878" max="4878" width="36.5703125" style="91" customWidth="1"/>
    <col min="4879" max="4879" width="49.42578125" style="91" customWidth="1"/>
    <col min="4880" max="5120" width="9.140625" style="91"/>
    <col min="5121" max="5121" width="23.140625" style="91" customWidth="1"/>
    <col min="5122" max="5122" width="39.42578125" style="91" customWidth="1"/>
    <col min="5123" max="5123" width="31.140625" style="91" customWidth="1"/>
    <col min="5124" max="5124" width="28.140625" style="91" customWidth="1"/>
    <col min="5125" max="5125" width="49.140625" style="91" customWidth="1"/>
    <col min="5126" max="5126" width="28.140625" style="91" customWidth="1"/>
    <col min="5127" max="5127" width="21.140625" style="91" customWidth="1"/>
    <col min="5128" max="5128" width="46.85546875" style="91" customWidth="1"/>
    <col min="5129" max="5129" width="38.28515625" style="91" customWidth="1"/>
    <col min="5130" max="5130" width="19.85546875" style="91" customWidth="1"/>
    <col min="5131" max="5131" width="28.5703125" style="91" customWidth="1"/>
    <col min="5132" max="5132" width="44.42578125" style="91" customWidth="1"/>
    <col min="5133" max="5133" width="35.140625" style="91" customWidth="1"/>
    <col min="5134" max="5134" width="36.5703125" style="91" customWidth="1"/>
    <col min="5135" max="5135" width="49.42578125" style="91" customWidth="1"/>
    <col min="5136" max="5376" width="9.140625" style="91"/>
    <col min="5377" max="5377" width="23.140625" style="91" customWidth="1"/>
    <col min="5378" max="5378" width="39.42578125" style="91" customWidth="1"/>
    <col min="5379" max="5379" width="31.140625" style="91" customWidth="1"/>
    <col min="5380" max="5380" width="28.140625" style="91" customWidth="1"/>
    <col min="5381" max="5381" width="49.140625" style="91" customWidth="1"/>
    <col min="5382" max="5382" width="28.140625" style="91" customWidth="1"/>
    <col min="5383" max="5383" width="21.140625" style="91" customWidth="1"/>
    <col min="5384" max="5384" width="46.85546875" style="91" customWidth="1"/>
    <col min="5385" max="5385" width="38.28515625" style="91" customWidth="1"/>
    <col min="5386" max="5386" width="19.85546875" style="91" customWidth="1"/>
    <col min="5387" max="5387" width="28.5703125" style="91" customWidth="1"/>
    <col min="5388" max="5388" width="44.42578125" style="91" customWidth="1"/>
    <col min="5389" max="5389" width="35.140625" style="91" customWidth="1"/>
    <col min="5390" max="5390" width="36.5703125" style="91" customWidth="1"/>
    <col min="5391" max="5391" width="49.42578125" style="91" customWidth="1"/>
    <col min="5392" max="5632" width="9.140625" style="91"/>
    <col min="5633" max="5633" width="23.140625" style="91" customWidth="1"/>
    <col min="5634" max="5634" width="39.42578125" style="91" customWidth="1"/>
    <col min="5635" max="5635" width="31.140625" style="91" customWidth="1"/>
    <col min="5636" max="5636" width="28.140625" style="91" customWidth="1"/>
    <col min="5637" max="5637" width="49.140625" style="91" customWidth="1"/>
    <col min="5638" max="5638" width="28.140625" style="91" customWidth="1"/>
    <col min="5639" max="5639" width="21.140625" style="91" customWidth="1"/>
    <col min="5640" max="5640" width="46.85546875" style="91" customWidth="1"/>
    <col min="5641" max="5641" width="38.28515625" style="91" customWidth="1"/>
    <col min="5642" max="5642" width="19.85546875" style="91" customWidth="1"/>
    <col min="5643" max="5643" width="28.5703125" style="91" customWidth="1"/>
    <col min="5644" max="5644" width="44.42578125" style="91" customWidth="1"/>
    <col min="5645" max="5645" width="35.140625" style="91" customWidth="1"/>
    <col min="5646" max="5646" width="36.5703125" style="91" customWidth="1"/>
    <col min="5647" max="5647" width="49.42578125" style="91" customWidth="1"/>
    <col min="5648" max="5888" width="9.140625" style="91"/>
    <col min="5889" max="5889" width="23.140625" style="91" customWidth="1"/>
    <col min="5890" max="5890" width="39.42578125" style="91" customWidth="1"/>
    <col min="5891" max="5891" width="31.140625" style="91" customWidth="1"/>
    <col min="5892" max="5892" width="28.140625" style="91" customWidth="1"/>
    <col min="5893" max="5893" width="49.140625" style="91" customWidth="1"/>
    <col min="5894" max="5894" width="28.140625" style="91" customWidth="1"/>
    <col min="5895" max="5895" width="21.140625" style="91" customWidth="1"/>
    <col min="5896" max="5896" width="46.85546875" style="91" customWidth="1"/>
    <col min="5897" max="5897" width="38.28515625" style="91" customWidth="1"/>
    <col min="5898" max="5898" width="19.85546875" style="91" customWidth="1"/>
    <col min="5899" max="5899" width="28.5703125" style="91" customWidth="1"/>
    <col min="5900" max="5900" width="44.42578125" style="91" customWidth="1"/>
    <col min="5901" max="5901" width="35.140625" style="91" customWidth="1"/>
    <col min="5902" max="5902" width="36.5703125" style="91" customWidth="1"/>
    <col min="5903" max="5903" width="49.42578125" style="91" customWidth="1"/>
    <col min="5904" max="6144" width="9.140625" style="91"/>
    <col min="6145" max="6145" width="23.140625" style="91" customWidth="1"/>
    <col min="6146" max="6146" width="39.42578125" style="91" customWidth="1"/>
    <col min="6147" max="6147" width="31.140625" style="91" customWidth="1"/>
    <col min="6148" max="6148" width="28.140625" style="91" customWidth="1"/>
    <col min="6149" max="6149" width="49.140625" style="91" customWidth="1"/>
    <col min="6150" max="6150" width="28.140625" style="91" customWidth="1"/>
    <col min="6151" max="6151" width="21.140625" style="91" customWidth="1"/>
    <col min="6152" max="6152" width="46.85546875" style="91" customWidth="1"/>
    <col min="6153" max="6153" width="38.28515625" style="91" customWidth="1"/>
    <col min="6154" max="6154" width="19.85546875" style="91" customWidth="1"/>
    <col min="6155" max="6155" width="28.5703125" style="91" customWidth="1"/>
    <col min="6156" max="6156" width="44.42578125" style="91" customWidth="1"/>
    <col min="6157" max="6157" width="35.140625" style="91" customWidth="1"/>
    <col min="6158" max="6158" width="36.5703125" style="91" customWidth="1"/>
    <col min="6159" max="6159" width="49.42578125" style="91" customWidth="1"/>
    <col min="6160" max="6400" width="9.140625" style="91"/>
    <col min="6401" max="6401" width="23.140625" style="91" customWidth="1"/>
    <col min="6402" max="6402" width="39.42578125" style="91" customWidth="1"/>
    <col min="6403" max="6403" width="31.140625" style="91" customWidth="1"/>
    <col min="6404" max="6404" width="28.140625" style="91" customWidth="1"/>
    <col min="6405" max="6405" width="49.140625" style="91" customWidth="1"/>
    <col min="6406" max="6406" width="28.140625" style="91" customWidth="1"/>
    <col min="6407" max="6407" width="21.140625" style="91" customWidth="1"/>
    <col min="6408" max="6408" width="46.85546875" style="91" customWidth="1"/>
    <col min="6409" max="6409" width="38.28515625" style="91" customWidth="1"/>
    <col min="6410" max="6410" width="19.85546875" style="91" customWidth="1"/>
    <col min="6411" max="6411" width="28.5703125" style="91" customWidth="1"/>
    <col min="6412" max="6412" width="44.42578125" style="91" customWidth="1"/>
    <col min="6413" max="6413" width="35.140625" style="91" customWidth="1"/>
    <col min="6414" max="6414" width="36.5703125" style="91" customWidth="1"/>
    <col min="6415" max="6415" width="49.42578125" style="91" customWidth="1"/>
    <col min="6416" max="6656" width="9.140625" style="91"/>
    <col min="6657" max="6657" width="23.140625" style="91" customWidth="1"/>
    <col min="6658" max="6658" width="39.42578125" style="91" customWidth="1"/>
    <col min="6659" max="6659" width="31.140625" style="91" customWidth="1"/>
    <col min="6660" max="6660" width="28.140625" style="91" customWidth="1"/>
    <col min="6661" max="6661" width="49.140625" style="91" customWidth="1"/>
    <col min="6662" max="6662" width="28.140625" style="91" customWidth="1"/>
    <col min="6663" max="6663" width="21.140625" style="91" customWidth="1"/>
    <col min="6664" max="6664" width="46.85546875" style="91" customWidth="1"/>
    <col min="6665" max="6665" width="38.28515625" style="91" customWidth="1"/>
    <col min="6666" max="6666" width="19.85546875" style="91" customWidth="1"/>
    <col min="6667" max="6667" width="28.5703125" style="91" customWidth="1"/>
    <col min="6668" max="6668" width="44.42578125" style="91" customWidth="1"/>
    <col min="6669" max="6669" width="35.140625" style="91" customWidth="1"/>
    <col min="6670" max="6670" width="36.5703125" style="91" customWidth="1"/>
    <col min="6671" max="6671" width="49.42578125" style="91" customWidth="1"/>
    <col min="6672" max="6912" width="9.140625" style="91"/>
    <col min="6913" max="6913" width="23.140625" style="91" customWidth="1"/>
    <col min="6914" max="6914" width="39.42578125" style="91" customWidth="1"/>
    <col min="6915" max="6915" width="31.140625" style="91" customWidth="1"/>
    <col min="6916" max="6916" width="28.140625" style="91" customWidth="1"/>
    <col min="6917" max="6917" width="49.140625" style="91" customWidth="1"/>
    <col min="6918" max="6918" width="28.140625" style="91" customWidth="1"/>
    <col min="6919" max="6919" width="21.140625" style="91" customWidth="1"/>
    <col min="6920" max="6920" width="46.85546875" style="91" customWidth="1"/>
    <col min="6921" max="6921" width="38.28515625" style="91" customWidth="1"/>
    <col min="6922" max="6922" width="19.85546875" style="91" customWidth="1"/>
    <col min="6923" max="6923" width="28.5703125" style="91" customWidth="1"/>
    <col min="6924" max="6924" width="44.42578125" style="91" customWidth="1"/>
    <col min="6925" max="6925" width="35.140625" style="91" customWidth="1"/>
    <col min="6926" max="6926" width="36.5703125" style="91" customWidth="1"/>
    <col min="6927" max="6927" width="49.42578125" style="91" customWidth="1"/>
    <col min="6928" max="7168" width="9.140625" style="91"/>
    <col min="7169" max="7169" width="23.140625" style="91" customWidth="1"/>
    <col min="7170" max="7170" width="39.42578125" style="91" customWidth="1"/>
    <col min="7171" max="7171" width="31.140625" style="91" customWidth="1"/>
    <col min="7172" max="7172" width="28.140625" style="91" customWidth="1"/>
    <col min="7173" max="7173" width="49.140625" style="91" customWidth="1"/>
    <col min="7174" max="7174" width="28.140625" style="91" customWidth="1"/>
    <col min="7175" max="7175" width="21.140625" style="91" customWidth="1"/>
    <col min="7176" max="7176" width="46.85546875" style="91" customWidth="1"/>
    <col min="7177" max="7177" width="38.28515625" style="91" customWidth="1"/>
    <col min="7178" max="7178" width="19.85546875" style="91" customWidth="1"/>
    <col min="7179" max="7179" width="28.5703125" style="91" customWidth="1"/>
    <col min="7180" max="7180" width="44.42578125" style="91" customWidth="1"/>
    <col min="7181" max="7181" width="35.140625" style="91" customWidth="1"/>
    <col min="7182" max="7182" width="36.5703125" style="91" customWidth="1"/>
    <col min="7183" max="7183" width="49.42578125" style="91" customWidth="1"/>
    <col min="7184" max="7424" width="9.140625" style="91"/>
    <col min="7425" max="7425" width="23.140625" style="91" customWidth="1"/>
    <col min="7426" max="7426" width="39.42578125" style="91" customWidth="1"/>
    <col min="7427" max="7427" width="31.140625" style="91" customWidth="1"/>
    <col min="7428" max="7428" width="28.140625" style="91" customWidth="1"/>
    <col min="7429" max="7429" width="49.140625" style="91" customWidth="1"/>
    <col min="7430" max="7430" width="28.140625" style="91" customWidth="1"/>
    <col min="7431" max="7431" width="21.140625" style="91" customWidth="1"/>
    <col min="7432" max="7432" width="46.85546875" style="91" customWidth="1"/>
    <col min="7433" max="7433" width="38.28515625" style="91" customWidth="1"/>
    <col min="7434" max="7434" width="19.85546875" style="91" customWidth="1"/>
    <col min="7435" max="7435" width="28.5703125" style="91" customWidth="1"/>
    <col min="7436" max="7436" width="44.42578125" style="91" customWidth="1"/>
    <col min="7437" max="7437" width="35.140625" style="91" customWidth="1"/>
    <col min="7438" max="7438" width="36.5703125" style="91" customWidth="1"/>
    <col min="7439" max="7439" width="49.42578125" style="91" customWidth="1"/>
    <col min="7440" max="7680" width="9.140625" style="91"/>
    <col min="7681" max="7681" width="23.140625" style="91" customWidth="1"/>
    <col min="7682" max="7682" width="39.42578125" style="91" customWidth="1"/>
    <col min="7683" max="7683" width="31.140625" style="91" customWidth="1"/>
    <col min="7684" max="7684" width="28.140625" style="91" customWidth="1"/>
    <col min="7685" max="7685" width="49.140625" style="91" customWidth="1"/>
    <col min="7686" max="7686" width="28.140625" style="91" customWidth="1"/>
    <col min="7687" max="7687" width="21.140625" style="91" customWidth="1"/>
    <col min="7688" max="7688" width="46.85546875" style="91" customWidth="1"/>
    <col min="7689" max="7689" width="38.28515625" style="91" customWidth="1"/>
    <col min="7690" max="7690" width="19.85546875" style="91" customWidth="1"/>
    <col min="7691" max="7691" width="28.5703125" style="91" customWidth="1"/>
    <col min="7692" max="7692" width="44.42578125" style="91" customWidth="1"/>
    <col min="7693" max="7693" width="35.140625" style="91" customWidth="1"/>
    <col min="7694" max="7694" width="36.5703125" style="91" customWidth="1"/>
    <col min="7695" max="7695" width="49.42578125" style="91" customWidth="1"/>
    <col min="7696" max="7936" width="9.140625" style="91"/>
    <col min="7937" max="7937" width="23.140625" style="91" customWidth="1"/>
    <col min="7938" max="7938" width="39.42578125" style="91" customWidth="1"/>
    <col min="7939" max="7939" width="31.140625" style="91" customWidth="1"/>
    <col min="7940" max="7940" width="28.140625" style="91" customWidth="1"/>
    <col min="7941" max="7941" width="49.140625" style="91" customWidth="1"/>
    <col min="7942" max="7942" width="28.140625" style="91" customWidth="1"/>
    <col min="7943" max="7943" width="21.140625" style="91" customWidth="1"/>
    <col min="7944" max="7944" width="46.85546875" style="91" customWidth="1"/>
    <col min="7945" max="7945" width="38.28515625" style="91" customWidth="1"/>
    <col min="7946" max="7946" width="19.85546875" style="91" customWidth="1"/>
    <col min="7947" max="7947" width="28.5703125" style="91" customWidth="1"/>
    <col min="7948" max="7948" width="44.42578125" style="91" customWidth="1"/>
    <col min="7949" max="7949" width="35.140625" style="91" customWidth="1"/>
    <col min="7950" max="7950" width="36.5703125" style="91" customWidth="1"/>
    <col min="7951" max="7951" width="49.42578125" style="91" customWidth="1"/>
    <col min="7952" max="8192" width="9.140625" style="91"/>
    <col min="8193" max="8193" width="23.140625" style="91" customWidth="1"/>
    <col min="8194" max="8194" width="39.42578125" style="91" customWidth="1"/>
    <col min="8195" max="8195" width="31.140625" style="91" customWidth="1"/>
    <col min="8196" max="8196" width="28.140625" style="91" customWidth="1"/>
    <col min="8197" max="8197" width="49.140625" style="91" customWidth="1"/>
    <col min="8198" max="8198" width="28.140625" style="91" customWidth="1"/>
    <col min="8199" max="8199" width="21.140625" style="91" customWidth="1"/>
    <col min="8200" max="8200" width="46.85546875" style="91" customWidth="1"/>
    <col min="8201" max="8201" width="38.28515625" style="91" customWidth="1"/>
    <col min="8202" max="8202" width="19.85546875" style="91" customWidth="1"/>
    <col min="8203" max="8203" width="28.5703125" style="91" customWidth="1"/>
    <col min="8204" max="8204" width="44.42578125" style="91" customWidth="1"/>
    <col min="8205" max="8205" width="35.140625" style="91" customWidth="1"/>
    <col min="8206" max="8206" width="36.5703125" style="91" customWidth="1"/>
    <col min="8207" max="8207" width="49.42578125" style="91" customWidth="1"/>
    <col min="8208" max="8448" width="9.140625" style="91"/>
    <col min="8449" max="8449" width="23.140625" style="91" customWidth="1"/>
    <col min="8450" max="8450" width="39.42578125" style="91" customWidth="1"/>
    <col min="8451" max="8451" width="31.140625" style="91" customWidth="1"/>
    <col min="8452" max="8452" width="28.140625" style="91" customWidth="1"/>
    <col min="8453" max="8453" width="49.140625" style="91" customWidth="1"/>
    <col min="8454" max="8454" width="28.140625" style="91" customWidth="1"/>
    <col min="8455" max="8455" width="21.140625" style="91" customWidth="1"/>
    <col min="8456" max="8456" width="46.85546875" style="91" customWidth="1"/>
    <col min="8457" max="8457" width="38.28515625" style="91" customWidth="1"/>
    <col min="8458" max="8458" width="19.85546875" style="91" customWidth="1"/>
    <col min="8459" max="8459" width="28.5703125" style="91" customWidth="1"/>
    <col min="8460" max="8460" width="44.42578125" style="91" customWidth="1"/>
    <col min="8461" max="8461" width="35.140625" style="91" customWidth="1"/>
    <col min="8462" max="8462" width="36.5703125" style="91" customWidth="1"/>
    <col min="8463" max="8463" width="49.42578125" style="91" customWidth="1"/>
    <col min="8464" max="8704" width="9.140625" style="91"/>
    <col min="8705" max="8705" width="23.140625" style="91" customWidth="1"/>
    <col min="8706" max="8706" width="39.42578125" style="91" customWidth="1"/>
    <col min="8707" max="8707" width="31.140625" style="91" customWidth="1"/>
    <col min="8708" max="8708" width="28.140625" style="91" customWidth="1"/>
    <col min="8709" max="8709" width="49.140625" style="91" customWidth="1"/>
    <col min="8710" max="8710" width="28.140625" style="91" customWidth="1"/>
    <col min="8711" max="8711" width="21.140625" style="91" customWidth="1"/>
    <col min="8712" max="8712" width="46.85546875" style="91" customWidth="1"/>
    <col min="8713" max="8713" width="38.28515625" style="91" customWidth="1"/>
    <col min="8714" max="8714" width="19.85546875" style="91" customWidth="1"/>
    <col min="8715" max="8715" width="28.5703125" style="91" customWidth="1"/>
    <col min="8716" max="8716" width="44.42578125" style="91" customWidth="1"/>
    <col min="8717" max="8717" width="35.140625" style="91" customWidth="1"/>
    <col min="8718" max="8718" width="36.5703125" style="91" customWidth="1"/>
    <col min="8719" max="8719" width="49.42578125" style="91" customWidth="1"/>
    <col min="8720" max="8960" width="9.140625" style="91"/>
    <col min="8961" max="8961" width="23.140625" style="91" customWidth="1"/>
    <col min="8962" max="8962" width="39.42578125" style="91" customWidth="1"/>
    <col min="8963" max="8963" width="31.140625" style="91" customWidth="1"/>
    <col min="8964" max="8964" width="28.140625" style="91" customWidth="1"/>
    <col min="8965" max="8965" width="49.140625" style="91" customWidth="1"/>
    <col min="8966" max="8966" width="28.140625" style="91" customWidth="1"/>
    <col min="8967" max="8967" width="21.140625" style="91" customWidth="1"/>
    <col min="8968" max="8968" width="46.85546875" style="91" customWidth="1"/>
    <col min="8969" max="8969" width="38.28515625" style="91" customWidth="1"/>
    <col min="8970" max="8970" width="19.85546875" style="91" customWidth="1"/>
    <col min="8971" max="8971" width="28.5703125" style="91" customWidth="1"/>
    <col min="8972" max="8972" width="44.42578125" style="91" customWidth="1"/>
    <col min="8973" max="8973" width="35.140625" style="91" customWidth="1"/>
    <col min="8974" max="8974" width="36.5703125" style="91" customWidth="1"/>
    <col min="8975" max="8975" width="49.42578125" style="91" customWidth="1"/>
    <col min="8976" max="9216" width="9.140625" style="91"/>
    <col min="9217" max="9217" width="23.140625" style="91" customWidth="1"/>
    <col min="9218" max="9218" width="39.42578125" style="91" customWidth="1"/>
    <col min="9219" max="9219" width="31.140625" style="91" customWidth="1"/>
    <col min="9220" max="9220" width="28.140625" style="91" customWidth="1"/>
    <col min="9221" max="9221" width="49.140625" style="91" customWidth="1"/>
    <col min="9222" max="9222" width="28.140625" style="91" customWidth="1"/>
    <col min="9223" max="9223" width="21.140625" style="91" customWidth="1"/>
    <col min="9224" max="9224" width="46.85546875" style="91" customWidth="1"/>
    <col min="9225" max="9225" width="38.28515625" style="91" customWidth="1"/>
    <col min="9226" max="9226" width="19.85546875" style="91" customWidth="1"/>
    <col min="9227" max="9227" width="28.5703125" style="91" customWidth="1"/>
    <col min="9228" max="9228" width="44.42578125" style="91" customWidth="1"/>
    <col min="9229" max="9229" width="35.140625" style="91" customWidth="1"/>
    <col min="9230" max="9230" width="36.5703125" style="91" customWidth="1"/>
    <col min="9231" max="9231" width="49.42578125" style="91" customWidth="1"/>
    <col min="9232" max="9472" width="9.140625" style="91"/>
    <col min="9473" max="9473" width="23.140625" style="91" customWidth="1"/>
    <col min="9474" max="9474" width="39.42578125" style="91" customWidth="1"/>
    <col min="9475" max="9475" width="31.140625" style="91" customWidth="1"/>
    <col min="9476" max="9476" width="28.140625" style="91" customWidth="1"/>
    <col min="9477" max="9477" width="49.140625" style="91" customWidth="1"/>
    <col min="9478" max="9478" width="28.140625" style="91" customWidth="1"/>
    <col min="9479" max="9479" width="21.140625" style="91" customWidth="1"/>
    <col min="9480" max="9480" width="46.85546875" style="91" customWidth="1"/>
    <col min="9481" max="9481" width="38.28515625" style="91" customWidth="1"/>
    <col min="9482" max="9482" width="19.85546875" style="91" customWidth="1"/>
    <col min="9483" max="9483" width="28.5703125" style="91" customWidth="1"/>
    <col min="9484" max="9484" width="44.42578125" style="91" customWidth="1"/>
    <col min="9485" max="9485" width="35.140625" style="91" customWidth="1"/>
    <col min="9486" max="9486" width="36.5703125" style="91" customWidth="1"/>
    <col min="9487" max="9487" width="49.42578125" style="91" customWidth="1"/>
    <col min="9488" max="9728" width="9.140625" style="91"/>
    <col min="9729" max="9729" width="23.140625" style="91" customWidth="1"/>
    <col min="9730" max="9730" width="39.42578125" style="91" customWidth="1"/>
    <col min="9731" max="9731" width="31.140625" style="91" customWidth="1"/>
    <col min="9732" max="9732" width="28.140625" style="91" customWidth="1"/>
    <col min="9733" max="9733" width="49.140625" style="91" customWidth="1"/>
    <col min="9734" max="9734" width="28.140625" style="91" customWidth="1"/>
    <col min="9735" max="9735" width="21.140625" style="91" customWidth="1"/>
    <col min="9736" max="9736" width="46.85546875" style="91" customWidth="1"/>
    <col min="9737" max="9737" width="38.28515625" style="91" customWidth="1"/>
    <col min="9738" max="9738" width="19.85546875" style="91" customWidth="1"/>
    <col min="9739" max="9739" width="28.5703125" style="91" customWidth="1"/>
    <col min="9740" max="9740" width="44.42578125" style="91" customWidth="1"/>
    <col min="9741" max="9741" width="35.140625" style="91" customWidth="1"/>
    <col min="9742" max="9742" width="36.5703125" style="91" customWidth="1"/>
    <col min="9743" max="9743" width="49.42578125" style="91" customWidth="1"/>
    <col min="9744" max="9984" width="9.140625" style="91"/>
    <col min="9985" max="9985" width="23.140625" style="91" customWidth="1"/>
    <col min="9986" max="9986" width="39.42578125" style="91" customWidth="1"/>
    <col min="9987" max="9987" width="31.140625" style="91" customWidth="1"/>
    <col min="9988" max="9988" width="28.140625" style="91" customWidth="1"/>
    <col min="9989" max="9989" width="49.140625" style="91" customWidth="1"/>
    <col min="9990" max="9990" width="28.140625" style="91" customWidth="1"/>
    <col min="9991" max="9991" width="21.140625" style="91" customWidth="1"/>
    <col min="9992" max="9992" width="46.85546875" style="91" customWidth="1"/>
    <col min="9993" max="9993" width="38.28515625" style="91" customWidth="1"/>
    <col min="9994" max="9994" width="19.85546875" style="91" customWidth="1"/>
    <col min="9995" max="9995" width="28.5703125" style="91" customWidth="1"/>
    <col min="9996" max="9996" width="44.42578125" style="91" customWidth="1"/>
    <col min="9997" max="9997" width="35.140625" style="91" customWidth="1"/>
    <col min="9998" max="9998" width="36.5703125" style="91" customWidth="1"/>
    <col min="9999" max="9999" width="49.42578125" style="91" customWidth="1"/>
    <col min="10000" max="10240" width="9.140625" style="91"/>
    <col min="10241" max="10241" width="23.140625" style="91" customWidth="1"/>
    <col min="10242" max="10242" width="39.42578125" style="91" customWidth="1"/>
    <col min="10243" max="10243" width="31.140625" style="91" customWidth="1"/>
    <col min="10244" max="10244" width="28.140625" style="91" customWidth="1"/>
    <col min="10245" max="10245" width="49.140625" style="91" customWidth="1"/>
    <col min="10246" max="10246" width="28.140625" style="91" customWidth="1"/>
    <col min="10247" max="10247" width="21.140625" style="91" customWidth="1"/>
    <col min="10248" max="10248" width="46.85546875" style="91" customWidth="1"/>
    <col min="10249" max="10249" width="38.28515625" style="91" customWidth="1"/>
    <col min="10250" max="10250" width="19.85546875" style="91" customWidth="1"/>
    <col min="10251" max="10251" width="28.5703125" style="91" customWidth="1"/>
    <col min="10252" max="10252" width="44.42578125" style="91" customWidth="1"/>
    <col min="10253" max="10253" width="35.140625" style="91" customWidth="1"/>
    <col min="10254" max="10254" width="36.5703125" style="91" customWidth="1"/>
    <col min="10255" max="10255" width="49.42578125" style="91" customWidth="1"/>
    <col min="10256" max="10496" width="9.140625" style="91"/>
    <col min="10497" max="10497" width="23.140625" style="91" customWidth="1"/>
    <col min="10498" max="10498" width="39.42578125" style="91" customWidth="1"/>
    <col min="10499" max="10499" width="31.140625" style="91" customWidth="1"/>
    <col min="10500" max="10500" width="28.140625" style="91" customWidth="1"/>
    <col min="10501" max="10501" width="49.140625" style="91" customWidth="1"/>
    <col min="10502" max="10502" width="28.140625" style="91" customWidth="1"/>
    <col min="10503" max="10503" width="21.140625" style="91" customWidth="1"/>
    <col min="10504" max="10504" width="46.85546875" style="91" customWidth="1"/>
    <col min="10505" max="10505" width="38.28515625" style="91" customWidth="1"/>
    <col min="10506" max="10506" width="19.85546875" style="91" customWidth="1"/>
    <col min="10507" max="10507" width="28.5703125" style="91" customWidth="1"/>
    <col min="10508" max="10508" width="44.42578125" style="91" customWidth="1"/>
    <col min="10509" max="10509" width="35.140625" style="91" customWidth="1"/>
    <col min="10510" max="10510" width="36.5703125" style="91" customWidth="1"/>
    <col min="10511" max="10511" width="49.42578125" style="91" customWidth="1"/>
    <col min="10512" max="10752" width="9.140625" style="91"/>
    <col min="10753" max="10753" width="23.140625" style="91" customWidth="1"/>
    <col min="10754" max="10754" width="39.42578125" style="91" customWidth="1"/>
    <col min="10755" max="10755" width="31.140625" style="91" customWidth="1"/>
    <col min="10756" max="10756" width="28.140625" style="91" customWidth="1"/>
    <col min="10757" max="10757" width="49.140625" style="91" customWidth="1"/>
    <col min="10758" max="10758" width="28.140625" style="91" customWidth="1"/>
    <col min="10759" max="10759" width="21.140625" style="91" customWidth="1"/>
    <col min="10760" max="10760" width="46.85546875" style="91" customWidth="1"/>
    <col min="10761" max="10761" width="38.28515625" style="91" customWidth="1"/>
    <col min="10762" max="10762" width="19.85546875" style="91" customWidth="1"/>
    <col min="10763" max="10763" width="28.5703125" style="91" customWidth="1"/>
    <col min="10764" max="10764" width="44.42578125" style="91" customWidth="1"/>
    <col min="10765" max="10765" width="35.140625" style="91" customWidth="1"/>
    <col min="10766" max="10766" width="36.5703125" style="91" customWidth="1"/>
    <col min="10767" max="10767" width="49.42578125" style="91" customWidth="1"/>
    <col min="10768" max="11008" width="9.140625" style="91"/>
    <col min="11009" max="11009" width="23.140625" style="91" customWidth="1"/>
    <col min="11010" max="11010" width="39.42578125" style="91" customWidth="1"/>
    <col min="11011" max="11011" width="31.140625" style="91" customWidth="1"/>
    <col min="11012" max="11012" width="28.140625" style="91" customWidth="1"/>
    <col min="11013" max="11013" width="49.140625" style="91" customWidth="1"/>
    <col min="11014" max="11014" width="28.140625" style="91" customWidth="1"/>
    <col min="11015" max="11015" width="21.140625" style="91" customWidth="1"/>
    <col min="11016" max="11016" width="46.85546875" style="91" customWidth="1"/>
    <col min="11017" max="11017" width="38.28515625" style="91" customWidth="1"/>
    <col min="11018" max="11018" width="19.85546875" style="91" customWidth="1"/>
    <col min="11019" max="11019" width="28.5703125" style="91" customWidth="1"/>
    <col min="11020" max="11020" width="44.42578125" style="91" customWidth="1"/>
    <col min="11021" max="11021" width="35.140625" style="91" customWidth="1"/>
    <col min="11022" max="11022" width="36.5703125" style="91" customWidth="1"/>
    <col min="11023" max="11023" width="49.42578125" style="91" customWidth="1"/>
    <col min="11024" max="11264" width="9.140625" style="91"/>
    <col min="11265" max="11265" width="23.140625" style="91" customWidth="1"/>
    <col min="11266" max="11266" width="39.42578125" style="91" customWidth="1"/>
    <col min="11267" max="11267" width="31.140625" style="91" customWidth="1"/>
    <col min="11268" max="11268" width="28.140625" style="91" customWidth="1"/>
    <col min="11269" max="11269" width="49.140625" style="91" customWidth="1"/>
    <col min="11270" max="11270" width="28.140625" style="91" customWidth="1"/>
    <col min="11271" max="11271" width="21.140625" style="91" customWidth="1"/>
    <col min="11272" max="11272" width="46.85546875" style="91" customWidth="1"/>
    <col min="11273" max="11273" width="38.28515625" style="91" customWidth="1"/>
    <col min="11274" max="11274" width="19.85546875" style="91" customWidth="1"/>
    <col min="11275" max="11275" width="28.5703125" style="91" customWidth="1"/>
    <col min="11276" max="11276" width="44.42578125" style="91" customWidth="1"/>
    <col min="11277" max="11277" width="35.140625" style="91" customWidth="1"/>
    <col min="11278" max="11278" width="36.5703125" style="91" customWidth="1"/>
    <col min="11279" max="11279" width="49.42578125" style="91" customWidth="1"/>
    <col min="11280" max="11520" width="9.140625" style="91"/>
    <col min="11521" max="11521" width="23.140625" style="91" customWidth="1"/>
    <col min="11522" max="11522" width="39.42578125" style="91" customWidth="1"/>
    <col min="11523" max="11523" width="31.140625" style="91" customWidth="1"/>
    <col min="11524" max="11524" width="28.140625" style="91" customWidth="1"/>
    <col min="11525" max="11525" width="49.140625" style="91" customWidth="1"/>
    <col min="11526" max="11526" width="28.140625" style="91" customWidth="1"/>
    <col min="11527" max="11527" width="21.140625" style="91" customWidth="1"/>
    <col min="11528" max="11528" width="46.85546875" style="91" customWidth="1"/>
    <col min="11529" max="11529" width="38.28515625" style="91" customWidth="1"/>
    <col min="11530" max="11530" width="19.85546875" style="91" customWidth="1"/>
    <col min="11531" max="11531" width="28.5703125" style="91" customWidth="1"/>
    <col min="11532" max="11532" width="44.42578125" style="91" customWidth="1"/>
    <col min="11533" max="11533" width="35.140625" style="91" customWidth="1"/>
    <col min="11534" max="11534" width="36.5703125" style="91" customWidth="1"/>
    <col min="11535" max="11535" width="49.42578125" style="91" customWidth="1"/>
    <col min="11536" max="11776" width="9.140625" style="91"/>
    <col min="11777" max="11777" width="23.140625" style="91" customWidth="1"/>
    <col min="11778" max="11778" width="39.42578125" style="91" customWidth="1"/>
    <col min="11779" max="11779" width="31.140625" style="91" customWidth="1"/>
    <col min="11780" max="11780" width="28.140625" style="91" customWidth="1"/>
    <col min="11781" max="11781" width="49.140625" style="91" customWidth="1"/>
    <col min="11782" max="11782" width="28.140625" style="91" customWidth="1"/>
    <col min="11783" max="11783" width="21.140625" style="91" customWidth="1"/>
    <col min="11784" max="11784" width="46.85546875" style="91" customWidth="1"/>
    <col min="11785" max="11785" width="38.28515625" style="91" customWidth="1"/>
    <col min="11786" max="11786" width="19.85546875" style="91" customWidth="1"/>
    <col min="11787" max="11787" width="28.5703125" style="91" customWidth="1"/>
    <col min="11788" max="11788" width="44.42578125" style="91" customWidth="1"/>
    <col min="11789" max="11789" width="35.140625" style="91" customWidth="1"/>
    <col min="11790" max="11790" width="36.5703125" style="91" customWidth="1"/>
    <col min="11791" max="11791" width="49.42578125" style="91" customWidth="1"/>
    <col min="11792" max="12032" width="9.140625" style="91"/>
    <col min="12033" max="12033" width="23.140625" style="91" customWidth="1"/>
    <col min="12034" max="12034" width="39.42578125" style="91" customWidth="1"/>
    <col min="12035" max="12035" width="31.140625" style="91" customWidth="1"/>
    <col min="12036" max="12036" width="28.140625" style="91" customWidth="1"/>
    <col min="12037" max="12037" width="49.140625" style="91" customWidth="1"/>
    <col min="12038" max="12038" width="28.140625" style="91" customWidth="1"/>
    <col min="12039" max="12039" width="21.140625" style="91" customWidth="1"/>
    <col min="12040" max="12040" width="46.85546875" style="91" customWidth="1"/>
    <col min="12041" max="12041" width="38.28515625" style="91" customWidth="1"/>
    <col min="12042" max="12042" width="19.85546875" style="91" customWidth="1"/>
    <col min="12043" max="12043" width="28.5703125" style="91" customWidth="1"/>
    <col min="12044" max="12044" width="44.42578125" style="91" customWidth="1"/>
    <col min="12045" max="12045" width="35.140625" style="91" customWidth="1"/>
    <col min="12046" max="12046" width="36.5703125" style="91" customWidth="1"/>
    <col min="12047" max="12047" width="49.42578125" style="91" customWidth="1"/>
    <col min="12048" max="12288" width="9.140625" style="91"/>
    <col min="12289" max="12289" width="23.140625" style="91" customWidth="1"/>
    <col min="12290" max="12290" width="39.42578125" style="91" customWidth="1"/>
    <col min="12291" max="12291" width="31.140625" style="91" customWidth="1"/>
    <col min="12292" max="12292" width="28.140625" style="91" customWidth="1"/>
    <col min="12293" max="12293" width="49.140625" style="91" customWidth="1"/>
    <col min="12294" max="12294" width="28.140625" style="91" customWidth="1"/>
    <col min="12295" max="12295" width="21.140625" style="91" customWidth="1"/>
    <col min="12296" max="12296" width="46.85546875" style="91" customWidth="1"/>
    <col min="12297" max="12297" width="38.28515625" style="91" customWidth="1"/>
    <col min="12298" max="12298" width="19.85546875" style="91" customWidth="1"/>
    <col min="12299" max="12299" width="28.5703125" style="91" customWidth="1"/>
    <col min="12300" max="12300" width="44.42578125" style="91" customWidth="1"/>
    <col min="12301" max="12301" width="35.140625" style="91" customWidth="1"/>
    <col min="12302" max="12302" width="36.5703125" style="91" customWidth="1"/>
    <col min="12303" max="12303" width="49.42578125" style="91" customWidth="1"/>
    <col min="12304" max="12544" width="9.140625" style="91"/>
    <col min="12545" max="12545" width="23.140625" style="91" customWidth="1"/>
    <col min="12546" max="12546" width="39.42578125" style="91" customWidth="1"/>
    <col min="12547" max="12547" width="31.140625" style="91" customWidth="1"/>
    <col min="12548" max="12548" width="28.140625" style="91" customWidth="1"/>
    <col min="12549" max="12549" width="49.140625" style="91" customWidth="1"/>
    <col min="12550" max="12550" width="28.140625" style="91" customWidth="1"/>
    <col min="12551" max="12551" width="21.140625" style="91" customWidth="1"/>
    <col min="12552" max="12552" width="46.85546875" style="91" customWidth="1"/>
    <col min="12553" max="12553" width="38.28515625" style="91" customWidth="1"/>
    <col min="12554" max="12554" width="19.85546875" style="91" customWidth="1"/>
    <col min="12555" max="12555" width="28.5703125" style="91" customWidth="1"/>
    <col min="12556" max="12556" width="44.42578125" style="91" customWidth="1"/>
    <col min="12557" max="12557" width="35.140625" style="91" customWidth="1"/>
    <col min="12558" max="12558" width="36.5703125" style="91" customWidth="1"/>
    <col min="12559" max="12559" width="49.42578125" style="91" customWidth="1"/>
    <col min="12560" max="12800" width="9.140625" style="91"/>
    <col min="12801" max="12801" width="23.140625" style="91" customWidth="1"/>
    <col min="12802" max="12802" width="39.42578125" style="91" customWidth="1"/>
    <col min="12803" max="12803" width="31.140625" style="91" customWidth="1"/>
    <col min="12804" max="12804" width="28.140625" style="91" customWidth="1"/>
    <col min="12805" max="12805" width="49.140625" style="91" customWidth="1"/>
    <col min="12806" max="12806" width="28.140625" style="91" customWidth="1"/>
    <col min="12807" max="12807" width="21.140625" style="91" customWidth="1"/>
    <col min="12808" max="12808" width="46.85546875" style="91" customWidth="1"/>
    <col min="12809" max="12809" width="38.28515625" style="91" customWidth="1"/>
    <col min="12810" max="12810" width="19.85546875" style="91" customWidth="1"/>
    <col min="12811" max="12811" width="28.5703125" style="91" customWidth="1"/>
    <col min="12812" max="12812" width="44.42578125" style="91" customWidth="1"/>
    <col min="12813" max="12813" width="35.140625" style="91" customWidth="1"/>
    <col min="12814" max="12814" width="36.5703125" style="91" customWidth="1"/>
    <col min="12815" max="12815" width="49.42578125" style="91" customWidth="1"/>
    <col min="12816" max="13056" width="9.140625" style="91"/>
    <col min="13057" max="13057" width="23.140625" style="91" customWidth="1"/>
    <col min="13058" max="13058" width="39.42578125" style="91" customWidth="1"/>
    <col min="13059" max="13059" width="31.140625" style="91" customWidth="1"/>
    <col min="13060" max="13060" width="28.140625" style="91" customWidth="1"/>
    <col min="13061" max="13061" width="49.140625" style="91" customWidth="1"/>
    <col min="13062" max="13062" width="28.140625" style="91" customWidth="1"/>
    <col min="13063" max="13063" width="21.140625" style="91" customWidth="1"/>
    <col min="13064" max="13064" width="46.85546875" style="91" customWidth="1"/>
    <col min="13065" max="13065" width="38.28515625" style="91" customWidth="1"/>
    <col min="13066" max="13066" width="19.85546875" style="91" customWidth="1"/>
    <col min="13067" max="13067" width="28.5703125" style="91" customWidth="1"/>
    <col min="13068" max="13068" width="44.42578125" style="91" customWidth="1"/>
    <col min="13069" max="13069" width="35.140625" style="91" customWidth="1"/>
    <col min="13070" max="13070" width="36.5703125" style="91" customWidth="1"/>
    <col min="13071" max="13071" width="49.42578125" style="91" customWidth="1"/>
    <col min="13072" max="13312" width="9.140625" style="91"/>
    <col min="13313" max="13313" width="23.140625" style="91" customWidth="1"/>
    <col min="13314" max="13314" width="39.42578125" style="91" customWidth="1"/>
    <col min="13315" max="13315" width="31.140625" style="91" customWidth="1"/>
    <col min="13316" max="13316" width="28.140625" style="91" customWidth="1"/>
    <col min="13317" max="13317" width="49.140625" style="91" customWidth="1"/>
    <col min="13318" max="13318" width="28.140625" style="91" customWidth="1"/>
    <col min="13319" max="13319" width="21.140625" style="91" customWidth="1"/>
    <col min="13320" max="13320" width="46.85546875" style="91" customWidth="1"/>
    <col min="13321" max="13321" width="38.28515625" style="91" customWidth="1"/>
    <col min="13322" max="13322" width="19.85546875" style="91" customWidth="1"/>
    <col min="13323" max="13323" width="28.5703125" style="91" customWidth="1"/>
    <col min="13324" max="13324" width="44.42578125" style="91" customWidth="1"/>
    <col min="13325" max="13325" width="35.140625" style="91" customWidth="1"/>
    <col min="13326" max="13326" width="36.5703125" style="91" customWidth="1"/>
    <col min="13327" max="13327" width="49.42578125" style="91" customWidth="1"/>
    <col min="13328" max="13568" width="9.140625" style="91"/>
    <col min="13569" max="13569" width="23.140625" style="91" customWidth="1"/>
    <col min="13570" max="13570" width="39.42578125" style="91" customWidth="1"/>
    <col min="13571" max="13571" width="31.140625" style="91" customWidth="1"/>
    <col min="13572" max="13572" width="28.140625" style="91" customWidth="1"/>
    <col min="13573" max="13573" width="49.140625" style="91" customWidth="1"/>
    <col min="13574" max="13574" width="28.140625" style="91" customWidth="1"/>
    <col min="13575" max="13575" width="21.140625" style="91" customWidth="1"/>
    <col min="13576" max="13576" width="46.85546875" style="91" customWidth="1"/>
    <col min="13577" max="13577" width="38.28515625" style="91" customWidth="1"/>
    <col min="13578" max="13578" width="19.85546875" style="91" customWidth="1"/>
    <col min="13579" max="13579" width="28.5703125" style="91" customWidth="1"/>
    <col min="13580" max="13580" width="44.42578125" style="91" customWidth="1"/>
    <col min="13581" max="13581" width="35.140625" style="91" customWidth="1"/>
    <col min="13582" max="13582" width="36.5703125" style="91" customWidth="1"/>
    <col min="13583" max="13583" width="49.42578125" style="91" customWidth="1"/>
    <col min="13584" max="13824" width="9.140625" style="91"/>
    <col min="13825" max="13825" width="23.140625" style="91" customWidth="1"/>
    <col min="13826" max="13826" width="39.42578125" style="91" customWidth="1"/>
    <col min="13827" max="13827" width="31.140625" style="91" customWidth="1"/>
    <col min="13828" max="13828" width="28.140625" style="91" customWidth="1"/>
    <col min="13829" max="13829" width="49.140625" style="91" customWidth="1"/>
    <col min="13830" max="13830" width="28.140625" style="91" customWidth="1"/>
    <col min="13831" max="13831" width="21.140625" style="91" customWidth="1"/>
    <col min="13832" max="13832" width="46.85546875" style="91" customWidth="1"/>
    <col min="13833" max="13833" width="38.28515625" style="91" customWidth="1"/>
    <col min="13834" max="13834" width="19.85546875" style="91" customWidth="1"/>
    <col min="13835" max="13835" width="28.5703125" style="91" customWidth="1"/>
    <col min="13836" max="13836" width="44.42578125" style="91" customWidth="1"/>
    <col min="13837" max="13837" width="35.140625" style="91" customWidth="1"/>
    <col min="13838" max="13838" width="36.5703125" style="91" customWidth="1"/>
    <col min="13839" max="13839" width="49.42578125" style="91" customWidth="1"/>
    <col min="13840" max="14080" width="9.140625" style="91"/>
    <col min="14081" max="14081" width="23.140625" style="91" customWidth="1"/>
    <col min="14082" max="14082" width="39.42578125" style="91" customWidth="1"/>
    <col min="14083" max="14083" width="31.140625" style="91" customWidth="1"/>
    <col min="14084" max="14084" width="28.140625" style="91" customWidth="1"/>
    <col min="14085" max="14085" width="49.140625" style="91" customWidth="1"/>
    <col min="14086" max="14086" width="28.140625" style="91" customWidth="1"/>
    <col min="14087" max="14087" width="21.140625" style="91" customWidth="1"/>
    <col min="14088" max="14088" width="46.85546875" style="91" customWidth="1"/>
    <col min="14089" max="14089" width="38.28515625" style="91" customWidth="1"/>
    <col min="14090" max="14090" width="19.85546875" style="91" customWidth="1"/>
    <col min="14091" max="14091" width="28.5703125" style="91" customWidth="1"/>
    <col min="14092" max="14092" width="44.42578125" style="91" customWidth="1"/>
    <col min="14093" max="14093" width="35.140625" style="91" customWidth="1"/>
    <col min="14094" max="14094" width="36.5703125" style="91" customWidth="1"/>
    <col min="14095" max="14095" width="49.42578125" style="91" customWidth="1"/>
    <col min="14096" max="14336" width="9.140625" style="91"/>
    <col min="14337" max="14337" width="23.140625" style="91" customWidth="1"/>
    <col min="14338" max="14338" width="39.42578125" style="91" customWidth="1"/>
    <col min="14339" max="14339" width="31.140625" style="91" customWidth="1"/>
    <col min="14340" max="14340" width="28.140625" style="91" customWidth="1"/>
    <col min="14341" max="14341" width="49.140625" style="91" customWidth="1"/>
    <col min="14342" max="14342" width="28.140625" style="91" customWidth="1"/>
    <col min="14343" max="14343" width="21.140625" style="91" customWidth="1"/>
    <col min="14344" max="14344" width="46.85546875" style="91" customWidth="1"/>
    <col min="14345" max="14345" width="38.28515625" style="91" customWidth="1"/>
    <col min="14346" max="14346" width="19.85546875" style="91" customWidth="1"/>
    <col min="14347" max="14347" width="28.5703125" style="91" customWidth="1"/>
    <col min="14348" max="14348" width="44.42578125" style="91" customWidth="1"/>
    <col min="14349" max="14349" width="35.140625" style="91" customWidth="1"/>
    <col min="14350" max="14350" width="36.5703125" style="91" customWidth="1"/>
    <col min="14351" max="14351" width="49.42578125" style="91" customWidth="1"/>
    <col min="14352" max="14592" width="9.140625" style="91"/>
    <col min="14593" max="14593" width="23.140625" style="91" customWidth="1"/>
    <col min="14594" max="14594" width="39.42578125" style="91" customWidth="1"/>
    <col min="14595" max="14595" width="31.140625" style="91" customWidth="1"/>
    <col min="14596" max="14596" width="28.140625" style="91" customWidth="1"/>
    <col min="14597" max="14597" width="49.140625" style="91" customWidth="1"/>
    <col min="14598" max="14598" width="28.140625" style="91" customWidth="1"/>
    <col min="14599" max="14599" width="21.140625" style="91" customWidth="1"/>
    <col min="14600" max="14600" width="46.85546875" style="91" customWidth="1"/>
    <col min="14601" max="14601" width="38.28515625" style="91" customWidth="1"/>
    <col min="14602" max="14602" width="19.85546875" style="91" customWidth="1"/>
    <col min="14603" max="14603" width="28.5703125" style="91" customWidth="1"/>
    <col min="14604" max="14604" width="44.42578125" style="91" customWidth="1"/>
    <col min="14605" max="14605" width="35.140625" style="91" customWidth="1"/>
    <col min="14606" max="14606" width="36.5703125" style="91" customWidth="1"/>
    <col min="14607" max="14607" width="49.42578125" style="91" customWidth="1"/>
    <col min="14608" max="14848" width="9.140625" style="91"/>
    <col min="14849" max="14849" width="23.140625" style="91" customWidth="1"/>
    <col min="14850" max="14850" width="39.42578125" style="91" customWidth="1"/>
    <col min="14851" max="14851" width="31.140625" style="91" customWidth="1"/>
    <col min="14852" max="14852" width="28.140625" style="91" customWidth="1"/>
    <col min="14853" max="14853" width="49.140625" style="91" customWidth="1"/>
    <col min="14854" max="14854" width="28.140625" style="91" customWidth="1"/>
    <col min="14855" max="14855" width="21.140625" style="91" customWidth="1"/>
    <col min="14856" max="14856" width="46.85546875" style="91" customWidth="1"/>
    <col min="14857" max="14857" width="38.28515625" style="91" customWidth="1"/>
    <col min="14858" max="14858" width="19.85546875" style="91" customWidth="1"/>
    <col min="14859" max="14859" width="28.5703125" style="91" customWidth="1"/>
    <col min="14860" max="14860" width="44.42578125" style="91" customWidth="1"/>
    <col min="14861" max="14861" width="35.140625" style="91" customWidth="1"/>
    <col min="14862" max="14862" width="36.5703125" style="91" customWidth="1"/>
    <col min="14863" max="14863" width="49.42578125" style="91" customWidth="1"/>
    <col min="14864" max="15104" width="9.140625" style="91"/>
    <col min="15105" max="15105" width="23.140625" style="91" customWidth="1"/>
    <col min="15106" max="15106" width="39.42578125" style="91" customWidth="1"/>
    <col min="15107" max="15107" width="31.140625" style="91" customWidth="1"/>
    <col min="15108" max="15108" width="28.140625" style="91" customWidth="1"/>
    <col min="15109" max="15109" width="49.140625" style="91" customWidth="1"/>
    <col min="15110" max="15110" width="28.140625" style="91" customWidth="1"/>
    <col min="15111" max="15111" width="21.140625" style="91" customWidth="1"/>
    <col min="15112" max="15112" width="46.85546875" style="91" customWidth="1"/>
    <col min="15113" max="15113" width="38.28515625" style="91" customWidth="1"/>
    <col min="15114" max="15114" width="19.85546875" style="91" customWidth="1"/>
    <col min="15115" max="15115" width="28.5703125" style="91" customWidth="1"/>
    <col min="15116" max="15116" width="44.42578125" style="91" customWidth="1"/>
    <col min="15117" max="15117" width="35.140625" style="91" customWidth="1"/>
    <col min="15118" max="15118" width="36.5703125" style="91" customWidth="1"/>
    <col min="15119" max="15119" width="49.42578125" style="91" customWidth="1"/>
    <col min="15120" max="15360" width="9.140625" style="91"/>
    <col min="15361" max="15361" width="23.140625" style="91" customWidth="1"/>
    <col min="15362" max="15362" width="39.42578125" style="91" customWidth="1"/>
    <col min="15363" max="15363" width="31.140625" style="91" customWidth="1"/>
    <col min="15364" max="15364" width="28.140625" style="91" customWidth="1"/>
    <col min="15365" max="15365" width="49.140625" style="91" customWidth="1"/>
    <col min="15366" max="15366" width="28.140625" style="91" customWidth="1"/>
    <col min="15367" max="15367" width="21.140625" style="91" customWidth="1"/>
    <col min="15368" max="15368" width="46.85546875" style="91" customWidth="1"/>
    <col min="15369" max="15369" width="38.28515625" style="91" customWidth="1"/>
    <col min="15370" max="15370" width="19.85546875" style="91" customWidth="1"/>
    <col min="15371" max="15371" width="28.5703125" style="91" customWidth="1"/>
    <col min="15372" max="15372" width="44.42578125" style="91" customWidth="1"/>
    <col min="15373" max="15373" width="35.140625" style="91" customWidth="1"/>
    <col min="15374" max="15374" width="36.5703125" style="91" customWidth="1"/>
    <col min="15375" max="15375" width="49.42578125" style="91" customWidth="1"/>
    <col min="15376" max="15616" width="9.140625" style="91"/>
    <col min="15617" max="15617" width="23.140625" style="91" customWidth="1"/>
    <col min="15618" max="15618" width="39.42578125" style="91" customWidth="1"/>
    <col min="15619" max="15619" width="31.140625" style="91" customWidth="1"/>
    <col min="15620" max="15620" width="28.140625" style="91" customWidth="1"/>
    <col min="15621" max="15621" width="49.140625" style="91" customWidth="1"/>
    <col min="15622" max="15622" width="28.140625" style="91" customWidth="1"/>
    <col min="15623" max="15623" width="21.140625" style="91" customWidth="1"/>
    <col min="15624" max="15624" width="46.85546875" style="91" customWidth="1"/>
    <col min="15625" max="15625" width="38.28515625" style="91" customWidth="1"/>
    <col min="15626" max="15626" width="19.85546875" style="91" customWidth="1"/>
    <col min="15627" max="15627" width="28.5703125" style="91" customWidth="1"/>
    <col min="15628" max="15628" width="44.42578125" style="91" customWidth="1"/>
    <col min="15629" max="15629" width="35.140625" style="91" customWidth="1"/>
    <col min="15630" max="15630" width="36.5703125" style="91" customWidth="1"/>
    <col min="15631" max="15631" width="49.42578125" style="91" customWidth="1"/>
    <col min="15632" max="15872" width="9.140625" style="91"/>
    <col min="15873" max="15873" width="23.140625" style="91" customWidth="1"/>
    <col min="15874" max="15874" width="39.42578125" style="91" customWidth="1"/>
    <col min="15875" max="15875" width="31.140625" style="91" customWidth="1"/>
    <col min="15876" max="15876" width="28.140625" style="91" customWidth="1"/>
    <col min="15877" max="15877" width="49.140625" style="91" customWidth="1"/>
    <col min="15878" max="15878" width="28.140625" style="91" customWidth="1"/>
    <col min="15879" max="15879" width="21.140625" style="91" customWidth="1"/>
    <col min="15880" max="15880" width="46.85546875" style="91" customWidth="1"/>
    <col min="15881" max="15881" width="38.28515625" style="91" customWidth="1"/>
    <col min="15882" max="15882" width="19.85546875" style="91" customWidth="1"/>
    <col min="15883" max="15883" width="28.5703125" style="91" customWidth="1"/>
    <col min="15884" max="15884" width="44.42578125" style="91" customWidth="1"/>
    <col min="15885" max="15885" width="35.140625" style="91" customWidth="1"/>
    <col min="15886" max="15886" width="36.5703125" style="91" customWidth="1"/>
    <col min="15887" max="15887" width="49.42578125" style="91" customWidth="1"/>
    <col min="15888" max="16128" width="9.140625" style="91"/>
    <col min="16129" max="16129" width="23.140625" style="91" customWidth="1"/>
    <col min="16130" max="16130" width="39.42578125" style="91" customWidth="1"/>
    <col min="16131" max="16131" width="31.140625" style="91" customWidth="1"/>
    <col min="16132" max="16132" width="28.140625" style="91" customWidth="1"/>
    <col min="16133" max="16133" width="49.140625" style="91" customWidth="1"/>
    <col min="16134" max="16134" width="28.140625" style="91" customWidth="1"/>
    <col min="16135" max="16135" width="21.140625" style="91" customWidth="1"/>
    <col min="16136" max="16136" width="46.85546875" style="91" customWidth="1"/>
    <col min="16137" max="16137" width="38.28515625" style="91" customWidth="1"/>
    <col min="16138" max="16138" width="19.85546875" style="91" customWidth="1"/>
    <col min="16139" max="16139" width="28.5703125" style="91" customWidth="1"/>
    <col min="16140" max="16140" width="44.42578125" style="91" customWidth="1"/>
    <col min="16141" max="16141" width="35.140625" style="91" customWidth="1"/>
    <col min="16142" max="16142" width="36.5703125" style="91" customWidth="1"/>
    <col min="16143" max="16143" width="49.42578125" style="91" customWidth="1"/>
    <col min="16144" max="16384" width="9.140625" style="91"/>
  </cols>
  <sheetData>
    <row r="1" spans="1:72" s="126" customFormat="1" ht="53.25" customHeight="1">
      <c r="A1" s="796" t="s">
        <v>184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8"/>
      <c r="M1" s="802" t="s">
        <v>185</v>
      </c>
      <c r="N1" s="803"/>
      <c r="O1" s="804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</row>
    <row r="2" spans="1:72" s="126" customFormat="1" ht="54.95" customHeight="1">
      <c r="A2" s="799"/>
      <c r="B2" s="800"/>
      <c r="C2" s="800"/>
      <c r="D2" s="800"/>
      <c r="E2" s="800"/>
      <c r="F2" s="800"/>
      <c r="G2" s="800"/>
      <c r="H2" s="800"/>
      <c r="I2" s="800"/>
      <c r="J2" s="800"/>
      <c r="K2" s="800"/>
      <c r="L2" s="801"/>
      <c r="M2" s="805" t="s">
        <v>186</v>
      </c>
      <c r="N2" s="806"/>
      <c r="O2" s="807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</row>
    <row r="3" spans="1:72" s="126" customFormat="1" ht="54.95" customHeight="1">
      <c r="A3" s="799"/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1"/>
      <c r="M3" s="808" t="s">
        <v>187</v>
      </c>
      <c r="N3" s="809"/>
      <c r="O3" s="810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</row>
    <row r="4" spans="1:72" s="132" customFormat="1" ht="82.5" customHeight="1">
      <c r="A4" s="229"/>
      <c r="B4" s="127" t="s">
        <v>188</v>
      </c>
      <c r="C4" s="128" t="s">
        <v>189</v>
      </c>
      <c r="D4" s="127"/>
      <c r="E4" s="129"/>
      <c r="F4" s="811" t="s">
        <v>190</v>
      </c>
      <c r="G4" s="812"/>
      <c r="H4" s="813" t="s">
        <v>191</v>
      </c>
      <c r="I4" s="814"/>
      <c r="J4" s="815"/>
      <c r="K4" s="819" t="s">
        <v>816</v>
      </c>
      <c r="L4" s="812"/>
      <c r="M4" s="130" t="s">
        <v>192</v>
      </c>
      <c r="N4" s="819" t="s">
        <v>193</v>
      </c>
      <c r="O4" s="820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  <c r="BR4" s="131"/>
      <c r="BS4" s="131"/>
      <c r="BT4" s="131"/>
    </row>
    <row r="5" spans="1:72" s="132" customFormat="1" ht="79.5" customHeight="1">
      <c r="A5" s="821" t="s">
        <v>813</v>
      </c>
      <c r="B5" s="822"/>
      <c r="C5" s="822"/>
      <c r="D5" s="822"/>
      <c r="E5" s="822"/>
      <c r="F5" s="822"/>
      <c r="G5" s="823"/>
      <c r="H5" s="816"/>
      <c r="I5" s="817"/>
      <c r="J5" s="818"/>
      <c r="K5" s="130" t="s">
        <v>194</v>
      </c>
      <c r="L5" s="133"/>
      <c r="M5" s="379"/>
      <c r="N5" s="379"/>
      <c r="O5" s="380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1"/>
      <c r="BR5" s="131"/>
      <c r="BS5" s="131"/>
      <c r="BT5" s="131"/>
    </row>
    <row r="6" spans="1:72" s="132" customFormat="1" ht="79.5" customHeight="1">
      <c r="A6" s="821" t="s">
        <v>814</v>
      </c>
      <c r="B6" s="822"/>
      <c r="C6" s="822"/>
      <c r="D6" s="822"/>
      <c r="E6" s="822"/>
      <c r="F6" s="822"/>
      <c r="G6" s="823"/>
      <c r="H6" s="836" t="s">
        <v>195</v>
      </c>
      <c r="I6" s="837"/>
      <c r="J6" s="838"/>
      <c r="K6" s="134" t="s">
        <v>196</v>
      </c>
      <c r="L6" s="135"/>
      <c r="M6" s="131"/>
      <c r="N6" s="136"/>
      <c r="O6" s="230" t="s">
        <v>197</v>
      </c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</row>
    <row r="7" spans="1:72" s="132" customFormat="1" ht="74.25" customHeight="1">
      <c r="A7" s="839" t="s">
        <v>815</v>
      </c>
      <c r="B7" s="811"/>
      <c r="C7" s="811"/>
      <c r="D7" s="811"/>
      <c r="E7" s="811"/>
      <c r="F7" s="811"/>
      <c r="G7" s="812"/>
      <c r="H7" s="808" t="s">
        <v>198</v>
      </c>
      <c r="I7" s="827"/>
      <c r="J7" s="828"/>
      <c r="K7" s="137" t="s">
        <v>199</v>
      </c>
      <c r="L7" s="133"/>
      <c r="M7" s="840" t="s">
        <v>200</v>
      </c>
      <c r="N7" s="840"/>
      <c r="O7" s="84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1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</row>
    <row r="8" spans="1:72" s="132" customFormat="1" ht="65.099999999999994" customHeight="1">
      <c r="A8" s="824" t="s">
        <v>201</v>
      </c>
      <c r="B8" s="809"/>
      <c r="C8" s="809"/>
      <c r="D8" s="825"/>
      <c r="E8" s="826" t="s">
        <v>202</v>
      </c>
      <c r="F8" s="827"/>
      <c r="G8" s="828"/>
      <c r="H8" s="829" t="s">
        <v>203</v>
      </c>
      <c r="I8" s="830"/>
      <c r="J8" s="831"/>
      <c r="K8" s="138" t="s">
        <v>204</v>
      </c>
      <c r="L8" s="135"/>
      <c r="M8" s="136"/>
      <c r="N8" s="136"/>
      <c r="O8" s="230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31"/>
      <c r="BN8" s="131"/>
      <c r="BO8" s="131"/>
      <c r="BP8" s="131"/>
      <c r="BQ8" s="131"/>
      <c r="BR8" s="131"/>
      <c r="BS8" s="131"/>
      <c r="BT8" s="131"/>
    </row>
    <row r="9" spans="1:72" s="132" customFormat="1" ht="65.099999999999994" customHeight="1">
      <c r="A9" s="832" t="s">
        <v>205</v>
      </c>
      <c r="B9" s="830"/>
      <c r="C9" s="830"/>
      <c r="D9" s="831"/>
      <c r="E9" s="829" t="s">
        <v>206</v>
      </c>
      <c r="F9" s="833"/>
      <c r="G9" s="834"/>
      <c r="H9" s="805" t="s">
        <v>207</v>
      </c>
      <c r="I9" s="806"/>
      <c r="J9" s="835"/>
      <c r="K9" s="849" t="s">
        <v>208</v>
      </c>
      <c r="L9" s="850"/>
      <c r="M9" s="850"/>
      <c r="N9" s="850"/>
      <c r="O9" s="85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</row>
    <row r="10" spans="1:72" s="140" customFormat="1" ht="60" customHeight="1">
      <c r="A10" s="852"/>
      <c r="B10" s="853"/>
      <c r="C10" s="853"/>
      <c r="D10" s="853"/>
      <c r="E10" s="853"/>
      <c r="F10" s="853"/>
      <c r="G10" s="853"/>
      <c r="H10" s="853"/>
      <c r="I10" s="853"/>
      <c r="J10" s="853"/>
      <c r="K10" s="853"/>
      <c r="L10" s="853"/>
      <c r="M10" s="853"/>
      <c r="N10" s="853"/>
      <c r="O10" s="854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</row>
    <row r="11" spans="1:72" s="140" customFormat="1" ht="64.5" customHeight="1">
      <c r="A11" s="855"/>
      <c r="B11" s="856"/>
      <c r="C11" s="856"/>
      <c r="D11" s="856"/>
      <c r="E11" s="856"/>
      <c r="F11" s="856"/>
      <c r="G11" s="856"/>
      <c r="H11" s="856"/>
      <c r="I11" s="856"/>
      <c r="J11" s="856"/>
      <c r="K11" s="856"/>
      <c r="L11" s="856"/>
      <c r="M11" s="856"/>
      <c r="N11" s="856"/>
      <c r="O11" s="857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</row>
    <row r="12" spans="1:72" s="140" customFormat="1" ht="64.5" customHeight="1">
      <c r="A12" s="855"/>
      <c r="B12" s="856"/>
      <c r="C12" s="856"/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7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</row>
    <row r="13" spans="1:72" s="140" customFormat="1" ht="64.5" customHeight="1">
      <c r="A13" s="855"/>
      <c r="B13" s="856"/>
      <c r="C13" s="856"/>
      <c r="D13" s="856"/>
      <c r="E13" s="856"/>
      <c r="F13" s="856"/>
      <c r="G13" s="856"/>
      <c r="H13" s="856"/>
      <c r="I13" s="856"/>
      <c r="J13" s="856"/>
      <c r="K13" s="856"/>
      <c r="L13" s="856"/>
      <c r="M13" s="856"/>
      <c r="N13" s="856"/>
      <c r="O13" s="857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</row>
    <row r="14" spans="1:72" s="140" customFormat="1" ht="64.5" customHeight="1">
      <c r="A14" s="855"/>
      <c r="B14" s="856"/>
      <c r="C14" s="856"/>
      <c r="D14" s="856"/>
      <c r="E14" s="856"/>
      <c r="F14" s="856"/>
      <c r="G14" s="856"/>
      <c r="H14" s="856"/>
      <c r="I14" s="856"/>
      <c r="J14" s="856"/>
      <c r="K14" s="856"/>
      <c r="L14" s="856"/>
      <c r="M14" s="856"/>
      <c r="N14" s="856"/>
      <c r="O14" s="857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</row>
    <row r="15" spans="1:72" s="140" customFormat="1" ht="64.5" customHeight="1">
      <c r="A15" s="855"/>
      <c r="B15" s="856"/>
      <c r="C15" s="856"/>
      <c r="D15" s="856"/>
      <c r="E15" s="856"/>
      <c r="F15" s="856"/>
      <c r="G15" s="856"/>
      <c r="H15" s="856"/>
      <c r="I15" s="856"/>
      <c r="J15" s="856"/>
      <c r="K15" s="856"/>
      <c r="L15" s="856"/>
      <c r="M15" s="856"/>
      <c r="N15" s="856"/>
      <c r="O15" s="857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</row>
    <row r="16" spans="1:72" s="140" customFormat="1" ht="64.5" customHeight="1">
      <c r="A16" s="855"/>
      <c r="B16" s="856"/>
      <c r="C16" s="856"/>
      <c r="D16" s="856"/>
      <c r="E16" s="856"/>
      <c r="F16" s="856"/>
      <c r="G16" s="856"/>
      <c r="H16" s="856"/>
      <c r="I16" s="856"/>
      <c r="J16" s="856"/>
      <c r="K16" s="856"/>
      <c r="L16" s="856"/>
      <c r="M16" s="856"/>
      <c r="N16" s="856"/>
      <c r="O16" s="857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</row>
    <row r="17" spans="1:72" s="140" customFormat="1" ht="64.5" customHeight="1">
      <c r="A17" s="855"/>
      <c r="B17" s="856"/>
      <c r="C17" s="856"/>
      <c r="D17" s="856"/>
      <c r="E17" s="856"/>
      <c r="F17" s="856"/>
      <c r="G17" s="856"/>
      <c r="H17" s="856"/>
      <c r="I17" s="856"/>
      <c r="J17" s="856"/>
      <c r="K17" s="856"/>
      <c r="L17" s="856"/>
      <c r="M17" s="856"/>
      <c r="N17" s="856"/>
      <c r="O17" s="857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</row>
    <row r="18" spans="1:72" s="140" customFormat="1" ht="64.5" customHeight="1">
      <c r="A18" s="855"/>
      <c r="B18" s="856"/>
      <c r="C18" s="856"/>
      <c r="D18" s="856"/>
      <c r="E18" s="856"/>
      <c r="F18" s="856"/>
      <c r="G18" s="856"/>
      <c r="H18" s="856"/>
      <c r="I18" s="856"/>
      <c r="J18" s="856"/>
      <c r="K18" s="856"/>
      <c r="L18" s="856"/>
      <c r="M18" s="856"/>
      <c r="N18" s="856"/>
      <c r="O18" s="857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</row>
    <row r="19" spans="1:72" s="140" customFormat="1" ht="64.5" customHeight="1">
      <c r="A19" s="855"/>
      <c r="B19" s="856"/>
      <c r="C19" s="856"/>
      <c r="D19" s="856"/>
      <c r="E19" s="856"/>
      <c r="F19" s="856"/>
      <c r="G19" s="856"/>
      <c r="H19" s="856"/>
      <c r="I19" s="856"/>
      <c r="J19" s="856"/>
      <c r="K19" s="856"/>
      <c r="L19" s="856"/>
      <c r="M19" s="856"/>
      <c r="N19" s="856"/>
      <c r="O19" s="857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</row>
    <row r="20" spans="1:72" s="140" customFormat="1" ht="64.5" customHeight="1">
      <c r="A20" s="855"/>
      <c r="B20" s="856"/>
      <c r="C20" s="856"/>
      <c r="D20" s="856"/>
      <c r="E20" s="856"/>
      <c r="F20" s="856"/>
      <c r="G20" s="856"/>
      <c r="H20" s="856"/>
      <c r="I20" s="856"/>
      <c r="J20" s="856"/>
      <c r="K20" s="856"/>
      <c r="L20" s="856"/>
      <c r="M20" s="856"/>
      <c r="N20" s="856"/>
      <c r="O20" s="857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</row>
    <row r="21" spans="1:72" s="140" customFormat="1" ht="64.5" customHeight="1">
      <c r="A21" s="855"/>
      <c r="B21" s="856"/>
      <c r="C21" s="856"/>
      <c r="D21" s="856"/>
      <c r="E21" s="856"/>
      <c r="F21" s="856"/>
      <c r="G21" s="856"/>
      <c r="H21" s="856"/>
      <c r="I21" s="856"/>
      <c r="J21" s="856"/>
      <c r="K21" s="856"/>
      <c r="L21" s="856"/>
      <c r="M21" s="856"/>
      <c r="N21" s="856"/>
      <c r="O21" s="857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</row>
    <row r="22" spans="1:72" s="140" customFormat="1" ht="64.5" customHeight="1">
      <c r="A22" s="855"/>
      <c r="B22" s="856"/>
      <c r="C22" s="856"/>
      <c r="D22" s="856"/>
      <c r="E22" s="856"/>
      <c r="F22" s="856"/>
      <c r="G22" s="856"/>
      <c r="H22" s="856"/>
      <c r="I22" s="856"/>
      <c r="J22" s="856"/>
      <c r="K22" s="856"/>
      <c r="L22" s="856"/>
      <c r="M22" s="856"/>
      <c r="N22" s="856"/>
      <c r="O22" s="857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</row>
    <row r="23" spans="1:72" s="140" customFormat="1" ht="64.5" customHeight="1">
      <c r="A23" s="855"/>
      <c r="B23" s="856"/>
      <c r="C23" s="856"/>
      <c r="D23" s="856"/>
      <c r="E23" s="856"/>
      <c r="F23" s="856"/>
      <c r="G23" s="856"/>
      <c r="H23" s="856"/>
      <c r="I23" s="856"/>
      <c r="J23" s="856"/>
      <c r="K23" s="856"/>
      <c r="L23" s="856"/>
      <c r="M23" s="856"/>
      <c r="N23" s="856"/>
      <c r="O23" s="857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</row>
    <row r="24" spans="1:72" s="140" customFormat="1" ht="64.5" customHeight="1">
      <c r="A24" s="855"/>
      <c r="B24" s="856"/>
      <c r="C24" s="856"/>
      <c r="D24" s="856"/>
      <c r="E24" s="856"/>
      <c r="F24" s="856"/>
      <c r="G24" s="856"/>
      <c r="H24" s="856"/>
      <c r="I24" s="856"/>
      <c r="J24" s="856"/>
      <c r="K24" s="856"/>
      <c r="L24" s="856"/>
      <c r="M24" s="856"/>
      <c r="N24" s="856"/>
      <c r="O24" s="857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</row>
    <row r="25" spans="1:72" s="140" customFormat="1" ht="64.5" customHeight="1">
      <c r="A25" s="855"/>
      <c r="B25" s="856"/>
      <c r="C25" s="856"/>
      <c r="D25" s="856"/>
      <c r="E25" s="856"/>
      <c r="F25" s="856"/>
      <c r="G25" s="856"/>
      <c r="H25" s="856"/>
      <c r="I25" s="856"/>
      <c r="J25" s="856"/>
      <c r="K25" s="856"/>
      <c r="L25" s="856"/>
      <c r="M25" s="856"/>
      <c r="N25" s="856"/>
      <c r="O25" s="857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</row>
    <row r="26" spans="1:72" s="140" customFormat="1" ht="64.5" customHeight="1">
      <c r="A26" s="855"/>
      <c r="B26" s="856"/>
      <c r="C26" s="856"/>
      <c r="D26" s="856"/>
      <c r="E26" s="856"/>
      <c r="F26" s="856"/>
      <c r="G26" s="856"/>
      <c r="H26" s="856"/>
      <c r="I26" s="856"/>
      <c r="J26" s="856"/>
      <c r="K26" s="856"/>
      <c r="L26" s="856"/>
      <c r="M26" s="856"/>
      <c r="N26" s="856"/>
      <c r="O26" s="857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</row>
    <row r="27" spans="1:72" s="140" customFormat="1" ht="64.5" customHeight="1">
      <c r="A27" s="855"/>
      <c r="B27" s="856"/>
      <c r="C27" s="856"/>
      <c r="D27" s="856"/>
      <c r="E27" s="856"/>
      <c r="F27" s="856"/>
      <c r="G27" s="856"/>
      <c r="H27" s="856"/>
      <c r="I27" s="856"/>
      <c r="J27" s="856"/>
      <c r="K27" s="856"/>
      <c r="L27" s="856"/>
      <c r="M27" s="856"/>
      <c r="N27" s="856"/>
      <c r="O27" s="857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</row>
    <row r="28" spans="1:72" s="140" customFormat="1" ht="64.5" customHeight="1">
      <c r="A28" s="855"/>
      <c r="B28" s="856"/>
      <c r="C28" s="856"/>
      <c r="D28" s="856"/>
      <c r="E28" s="856"/>
      <c r="F28" s="856"/>
      <c r="G28" s="856"/>
      <c r="H28" s="856"/>
      <c r="I28" s="856"/>
      <c r="J28" s="856"/>
      <c r="K28" s="856"/>
      <c r="L28" s="856"/>
      <c r="M28" s="856"/>
      <c r="N28" s="856"/>
      <c r="O28" s="857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</row>
    <row r="29" spans="1:72" s="140" customFormat="1" ht="64.5" customHeight="1">
      <c r="A29" s="855"/>
      <c r="B29" s="856"/>
      <c r="C29" s="856"/>
      <c r="D29" s="856"/>
      <c r="E29" s="856"/>
      <c r="F29" s="856"/>
      <c r="G29" s="856"/>
      <c r="H29" s="856"/>
      <c r="I29" s="856"/>
      <c r="J29" s="856"/>
      <c r="K29" s="856"/>
      <c r="L29" s="856"/>
      <c r="M29" s="856"/>
      <c r="N29" s="856"/>
      <c r="O29" s="857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</row>
    <row r="30" spans="1:72" s="140" customFormat="1" ht="64.5" customHeight="1">
      <c r="A30" s="855"/>
      <c r="B30" s="856"/>
      <c r="C30" s="856"/>
      <c r="D30" s="856"/>
      <c r="E30" s="856"/>
      <c r="F30" s="856"/>
      <c r="G30" s="856"/>
      <c r="H30" s="856"/>
      <c r="I30" s="856"/>
      <c r="J30" s="856"/>
      <c r="K30" s="856"/>
      <c r="L30" s="856"/>
      <c r="M30" s="856"/>
      <c r="N30" s="856"/>
      <c r="O30" s="857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</row>
    <row r="31" spans="1:72" s="140" customFormat="1" ht="64.5" customHeight="1">
      <c r="A31" s="855"/>
      <c r="B31" s="856"/>
      <c r="C31" s="856"/>
      <c r="D31" s="856"/>
      <c r="E31" s="856"/>
      <c r="F31" s="856"/>
      <c r="G31" s="856"/>
      <c r="H31" s="856"/>
      <c r="I31" s="856"/>
      <c r="J31" s="856"/>
      <c r="K31" s="856"/>
      <c r="L31" s="856"/>
      <c r="M31" s="856"/>
      <c r="N31" s="856"/>
      <c r="O31" s="857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</row>
    <row r="32" spans="1:72" s="140" customFormat="1" ht="64.5" customHeight="1">
      <c r="A32" s="855"/>
      <c r="B32" s="856"/>
      <c r="C32" s="856"/>
      <c r="D32" s="856"/>
      <c r="E32" s="856"/>
      <c r="F32" s="856"/>
      <c r="G32" s="856"/>
      <c r="H32" s="856"/>
      <c r="I32" s="856"/>
      <c r="J32" s="856"/>
      <c r="K32" s="856"/>
      <c r="L32" s="856"/>
      <c r="M32" s="856"/>
      <c r="N32" s="856"/>
      <c r="O32" s="857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</row>
    <row r="33" spans="1:253" s="140" customFormat="1" ht="64.5" customHeight="1">
      <c r="A33" s="855"/>
      <c r="B33" s="856"/>
      <c r="C33" s="856"/>
      <c r="D33" s="856"/>
      <c r="E33" s="856"/>
      <c r="F33" s="856"/>
      <c r="G33" s="856"/>
      <c r="H33" s="856"/>
      <c r="I33" s="856"/>
      <c r="J33" s="856"/>
      <c r="K33" s="856"/>
      <c r="L33" s="856"/>
      <c r="M33" s="856"/>
      <c r="N33" s="856"/>
      <c r="O33" s="857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</row>
    <row r="34" spans="1:253" s="140" customFormat="1" ht="64.5" customHeight="1">
      <c r="A34" s="855"/>
      <c r="B34" s="856"/>
      <c r="C34" s="856"/>
      <c r="D34" s="856"/>
      <c r="E34" s="856"/>
      <c r="F34" s="856"/>
      <c r="G34" s="856"/>
      <c r="H34" s="856"/>
      <c r="I34" s="856"/>
      <c r="J34" s="856"/>
      <c r="K34" s="856"/>
      <c r="L34" s="856"/>
      <c r="M34" s="856"/>
      <c r="N34" s="856"/>
      <c r="O34" s="85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</row>
    <row r="35" spans="1:253" s="140" customFormat="1" ht="64.5" customHeight="1">
      <c r="A35" s="855"/>
      <c r="B35" s="856"/>
      <c r="C35" s="856"/>
      <c r="D35" s="856"/>
      <c r="E35" s="856"/>
      <c r="F35" s="856"/>
      <c r="G35" s="856"/>
      <c r="H35" s="856"/>
      <c r="I35" s="856"/>
      <c r="J35" s="856"/>
      <c r="K35" s="856"/>
      <c r="L35" s="856"/>
      <c r="M35" s="856"/>
      <c r="N35" s="856"/>
      <c r="O35" s="857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</row>
    <row r="36" spans="1:253" s="140" customFormat="1" ht="64.5" customHeight="1">
      <c r="A36" s="855"/>
      <c r="B36" s="856"/>
      <c r="C36" s="856"/>
      <c r="D36" s="856"/>
      <c r="E36" s="856"/>
      <c r="F36" s="856"/>
      <c r="G36" s="856"/>
      <c r="H36" s="856"/>
      <c r="I36" s="856"/>
      <c r="J36" s="856"/>
      <c r="K36" s="856"/>
      <c r="L36" s="856"/>
      <c r="M36" s="856"/>
      <c r="N36" s="856"/>
      <c r="O36" s="857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</row>
    <row r="37" spans="1:253" s="144" customFormat="1" ht="72.75" customHeight="1">
      <c r="A37" s="376" t="s">
        <v>209</v>
      </c>
      <c r="B37" s="141" t="s">
        <v>210</v>
      </c>
      <c r="C37" s="141" t="s">
        <v>211</v>
      </c>
      <c r="D37" s="858" t="s">
        <v>212</v>
      </c>
      <c r="E37" s="859"/>
      <c r="F37" s="860"/>
      <c r="G37" s="142" t="s">
        <v>213</v>
      </c>
      <c r="H37" s="861" t="s">
        <v>214</v>
      </c>
      <c r="I37" s="864" t="s">
        <v>215</v>
      </c>
      <c r="J37" s="865"/>
      <c r="K37" s="865"/>
      <c r="L37" s="866"/>
      <c r="M37" s="867" t="s">
        <v>216</v>
      </c>
      <c r="N37" s="867" t="s">
        <v>217</v>
      </c>
      <c r="O37" s="870" t="s">
        <v>218</v>
      </c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</row>
    <row r="38" spans="1:253" s="144" customFormat="1" ht="62.25" customHeight="1">
      <c r="A38" s="377" t="s">
        <v>219</v>
      </c>
      <c r="B38" s="145" t="s">
        <v>220</v>
      </c>
      <c r="C38" s="145" t="s">
        <v>221</v>
      </c>
      <c r="D38" s="873" t="s">
        <v>222</v>
      </c>
      <c r="E38" s="875" t="s">
        <v>223</v>
      </c>
      <c r="F38" s="867" t="s">
        <v>219</v>
      </c>
      <c r="G38" s="146" t="s">
        <v>224</v>
      </c>
      <c r="H38" s="862"/>
      <c r="I38" s="147" t="s">
        <v>225</v>
      </c>
      <c r="J38" s="148" t="s">
        <v>226</v>
      </c>
      <c r="K38" s="149"/>
      <c r="L38" s="146" t="s">
        <v>227</v>
      </c>
      <c r="M38" s="868"/>
      <c r="N38" s="868"/>
      <c r="O38" s="871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</row>
    <row r="39" spans="1:253" s="144" customFormat="1" ht="118.5" customHeight="1">
      <c r="A39" s="378" t="s">
        <v>228</v>
      </c>
      <c r="B39" s="150" t="s">
        <v>229</v>
      </c>
      <c r="C39" s="150" t="s">
        <v>230</v>
      </c>
      <c r="D39" s="874"/>
      <c r="E39" s="876"/>
      <c r="F39" s="869"/>
      <c r="G39" s="151" t="s">
        <v>231</v>
      </c>
      <c r="H39" s="863"/>
      <c r="I39" s="152" t="s">
        <v>232</v>
      </c>
      <c r="J39" s="151" t="s">
        <v>233</v>
      </c>
      <c r="K39" s="150" t="s">
        <v>234</v>
      </c>
      <c r="L39" s="151" t="s">
        <v>235</v>
      </c>
      <c r="M39" s="869"/>
      <c r="N39" s="869"/>
      <c r="O39" s="872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</row>
    <row r="40" spans="1:253" s="154" customFormat="1" ht="118.5" customHeight="1">
      <c r="A40" s="873" t="s">
        <v>236</v>
      </c>
      <c r="B40" s="895" t="s">
        <v>790</v>
      </c>
      <c r="C40" s="898"/>
      <c r="D40" s="556">
        <v>1</v>
      </c>
      <c r="E40" s="548" t="s">
        <v>791</v>
      </c>
      <c r="F40" s="153"/>
      <c r="G40" s="153"/>
      <c r="H40" s="242" t="s">
        <v>792</v>
      </c>
      <c r="I40" s="242" t="s">
        <v>793</v>
      </c>
      <c r="J40" s="160">
        <v>100</v>
      </c>
      <c r="K40" s="556" t="s">
        <v>246</v>
      </c>
      <c r="L40" s="242" t="s">
        <v>794</v>
      </c>
      <c r="M40" s="895" t="s">
        <v>786</v>
      </c>
      <c r="N40" s="895" t="s">
        <v>237</v>
      </c>
      <c r="O40" s="900" t="s">
        <v>238</v>
      </c>
    </row>
    <row r="41" spans="1:253" s="154" customFormat="1" ht="118.5" customHeight="1">
      <c r="A41" s="894"/>
      <c r="B41" s="896"/>
      <c r="C41" s="899"/>
      <c r="D41" s="550">
        <v>2</v>
      </c>
      <c r="E41" s="549" t="s">
        <v>254</v>
      </c>
      <c r="F41" s="162"/>
      <c r="G41" s="162"/>
      <c r="H41" s="552" t="s">
        <v>795</v>
      </c>
      <c r="I41" s="552" t="s">
        <v>796</v>
      </c>
      <c r="J41" s="550">
        <v>1</v>
      </c>
      <c r="K41" s="550" t="s">
        <v>246</v>
      </c>
      <c r="L41" s="552" t="s">
        <v>797</v>
      </c>
      <c r="M41" s="896"/>
      <c r="N41" s="896"/>
      <c r="O41" s="901"/>
    </row>
    <row r="42" spans="1:253" s="154" customFormat="1" ht="118.5" customHeight="1">
      <c r="A42" s="894"/>
      <c r="B42" s="897"/>
      <c r="C42" s="899"/>
      <c r="D42" s="551">
        <v>3</v>
      </c>
      <c r="E42" s="559" t="s">
        <v>252</v>
      </c>
      <c r="F42" s="228"/>
      <c r="G42" s="228"/>
      <c r="H42" s="553" t="s">
        <v>798</v>
      </c>
      <c r="I42" s="165" t="s">
        <v>245</v>
      </c>
      <c r="J42" s="560">
        <v>100</v>
      </c>
      <c r="K42" s="551" t="s">
        <v>246</v>
      </c>
      <c r="L42" s="553"/>
      <c r="M42" s="896"/>
      <c r="N42" s="896"/>
      <c r="O42" s="901"/>
    </row>
    <row r="43" spans="1:253" s="144" customFormat="1" ht="118.5" customHeight="1">
      <c r="A43" s="902" t="s">
        <v>255</v>
      </c>
      <c r="B43" s="904" t="s">
        <v>799</v>
      </c>
      <c r="C43" s="905" t="s">
        <v>800</v>
      </c>
      <c r="D43" s="369">
        <v>1</v>
      </c>
      <c r="E43" s="561" t="s">
        <v>258</v>
      </c>
      <c r="F43" s="252"/>
      <c r="G43" s="253"/>
      <c r="H43" s="562" t="s">
        <v>801</v>
      </c>
      <c r="I43" s="369" t="s">
        <v>587</v>
      </c>
      <c r="J43" s="371">
        <v>2</v>
      </c>
      <c r="K43" s="556" t="s">
        <v>253</v>
      </c>
      <c r="L43" s="906" t="s">
        <v>802</v>
      </c>
      <c r="M43" s="907" t="s">
        <v>786</v>
      </c>
      <c r="N43" s="910" t="s">
        <v>803</v>
      </c>
      <c r="O43" s="877" t="s">
        <v>804</v>
      </c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2"/>
      <c r="CR43" s="222"/>
      <c r="CS43" s="222"/>
      <c r="CT43" s="222"/>
      <c r="CU43" s="222"/>
      <c r="CV43" s="222"/>
      <c r="CW43" s="222"/>
      <c r="CX43" s="222"/>
      <c r="CY43" s="222"/>
      <c r="CZ43" s="222"/>
      <c r="DA43" s="222"/>
      <c r="DB43" s="222"/>
      <c r="DC43" s="222"/>
      <c r="DD43" s="222"/>
      <c r="DE43" s="222"/>
      <c r="DF43" s="222"/>
      <c r="DG43" s="222"/>
      <c r="DH43" s="222"/>
      <c r="DI43" s="222"/>
      <c r="DJ43" s="222"/>
      <c r="DK43" s="222"/>
      <c r="DL43" s="222"/>
      <c r="DM43" s="222"/>
      <c r="DN43" s="222"/>
      <c r="DO43" s="222"/>
      <c r="DP43" s="222"/>
      <c r="DQ43" s="222"/>
      <c r="DR43" s="222"/>
      <c r="DS43" s="222"/>
      <c r="DT43" s="222"/>
      <c r="DU43" s="222"/>
      <c r="DV43" s="222"/>
      <c r="DW43" s="222"/>
      <c r="DX43" s="222"/>
      <c r="DY43" s="222"/>
      <c r="DZ43" s="222"/>
      <c r="EA43" s="222"/>
      <c r="EB43" s="222"/>
      <c r="EC43" s="222"/>
      <c r="ED43" s="222"/>
      <c r="EE43" s="222"/>
      <c r="EF43" s="222"/>
      <c r="EG43" s="222"/>
      <c r="EH43" s="222"/>
      <c r="EI43" s="222"/>
      <c r="EJ43" s="222"/>
      <c r="EK43" s="222"/>
      <c r="EL43" s="222"/>
      <c r="EM43" s="222"/>
      <c r="EN43" s="222"/>
      <c r="EO43" s="222"/>
      <c r="EP43" s="222"/>
      <c r="EQ43" s="222"/>
      <c r="ER43" s="222"/>
      <c r="ES43" s="222"/>
      <c r="ET43" s="222"/>
      <c r="EU43" s="222"/>
      <c r="EV43" s="222"/>
      <c r="EW43" s="222"/>
      <c r="EX43" s="222"/>
      <c r="EY43" s="222"/>
      <c r="EZ43" s="222"/>
      <c r="FA43" s="222"/>
      <c r="FB43" s="222"/>
      <c r="FC43" s="222"/>
      <c r="FD43" s="222"/>
      <c r="FE43" s="222"/>
      <c r="FF43" s="222"/>
      <c r="FG43" s="222"/>
      <c r="FH43" s="222"/>
      <c r="FI43" s="222"/>
      <c r="FJ43" s="222"/>
      <c r="FK43" s="222"/>
      <c r="FL43" s="222"/>
      <c r="FM43" s="222"/>
      <c r="FN43" s="222"/>
      <c r="FO43" s="222"/>
      <c r="FP43" s="222"/>
      <c r="FQ43" s="222"/>
      <c r="FR43" s="222"/>
      <c r="FS43" s="222"/>
      <c r="FT43" s="222"/>
      <c r="FU43" s="222"/>
      <c r="FV43" s="222"/>
      <c r="FW43" s="222"/>
      <c r="FX43" s="222"/>
      <c r="FY43" s="222"/>
      <c r="FZ43" s="222"/>
      <c r="GA43" s="222"/>
      <c r="GB43" s="222"/>
      <c r="GC43" s="222"/>
      <c r="GD43" s="222"/>
      <c r="GE43" s="222"/>
      <c r="GF43" s="222"/>
      <c r="GG43" s="222"/>
      <c r="GH43" s="222"/>
      <c r="GI43" s="222"/>
      <c r="GJ43" s="222"/>
      <c r="GK43" s="222"/>
      <c r="GL43" s="222"/>
      <c r="GM43" s="222"/>
      <c r="GN43" s="222"/>
      <c r="GO43" s="222"/>
      <c r="GP43" s="222"/>
      <c r="GQ43" s="222"/>
      <c r="GR43" s="222"/>
      <c r="GS43" s="222"/>
      <c r="GT43" s="222"/>
      <c r="GU43" s="222"/>
      <c r="GV43" s="222"/>
      <c r="GW43" s="222"/>
      <c r="GX43" s="222"/>
      <c r="GY43" s="222"/>
      <c r="GZ43" s="222"/>
      <c r="HA43" s="222"/>
      <c r="HB43" s="222"/>
      <c r="HC43" s="222"/>
      <c r="HD43" s="222"/>
      <c r="HE43" s="222"/>
      <c r="HF43" s="222"/>
      <c r="HG43" s="222"/>
      <c r="HH43" s="222"/>
      <c r="HI43" s="222"/>
      <c r="HJ43" s="222"/>
      <c r="HK43" s="222"/>
      <c r="HL43" s="222"/>
      <c r="HM43" s="222"/>
      <c r="HN43" s="222"/>
      <c r="HO43" s="222"/>
      <c r="HP43" s="222"/>
      <c r="HQ43" s="222"/>
      <c r="HR43" s="222"/>
      <c r="HS43" s="222"/>
      <c r="HT43" s="222"/>
      <c r="HU43" s="222"/>
      <c r="HV43" s="222"/>
      <c r="HW43" s="222"/>
      <c r="HX43" s="222"/>
      <c r="HY43" s="222"/>
      <c r="HZ43" s="222"/>
      <c r="IA43" s="222"/>
      <c r="IB43" s="222"/>
      <c r="IC43" s="222"/>
      <c r="ID43" s="222"/>
      <c r="IE43" s="222"/>
      <c r="IF43" s="222"/>
      <c r="IG43" s="222"/>
      <c r="IH43" s="222"/>
      <c r="II43" s="222"/>
      <c r="IJ43" s="222"/>
      <c r="IK43" s="222"/>
      <c r="IL43" s="222"/>
      <c r="IM43" s="222"/>
      <c r="IN43" s="222"/>
      <c r="IO43" s="222"/>
      <c r="IP43" s="222"/>
      <c r="IQ43" s="222"/>
      <c r="IR43" s="222"/>
      <c r="IS43" s="222"/>
    </row>
    <row r="44" spans="1:253" s="144" customFormat="1" ht="118.5" customHeight="1">
      <c r="A44" s="903"/>
      <c r="B44" s="904"/>
      <c r="C44" s="905"/>
      <c r="D44" s="219">
        <v>2</v>
      </c>
      <c r="E44" s="563" t="s">
        <v>258</v>
      </c>
      <c r="F44" s="218"/>
      <c r="G44" s="564"/>
      <c r="H44" s="565">
        <v>1800</v>
      </c>
      <c r="I44" s="219" t="s">
        <v>587</v>
      </c>
      <c r="J44" s="372">
        <v>2</v>
      </c>
      <c r="K44" s="550" t="s">
        <v>253</v>
      </c>
      <c r="L44" s="885"/>
      <c r="M44" s="908"/>
      <c r="N44" s="911"/>
      <c r="O44" s="878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2"/>
      <c r="BJ44" s="222"/>
      <c r="BK44" s="222"/>
      <c r="BL44" s="222"/>
      <c r="BM44" s="222"/>
      <c r="BN44" s="222"/>
      <c r="BO44" s="222"/>
      <c r="BP44" s="222"/>
      <c r="BQ44" s="222"/>
      <c r="BR44" s="222"/>
      <c r="BS44" s="222"/>
      <c r="BT44" s="222"/>
      <c r="BU44" s="222"/>
      <c r="BV44" s="222"/>
      <c r="BW44" s="222"/>
      <c r="BX44" s="222"/>
      <c r="BY44" s="222"/>
      <c r="BZ44" s="222"/>
      <c r="CA44" s="222"/>
      <c r="CB44" s="222"/>
      <c r="CC44" s="222"/>
      <c r="CD44" s="222"/>
      <c r="CE44" s="222"/>
      <c r="CF44" s="222"/>
      <c r="CG44" s="222"/>
      <c r="CH44" s="222"/>
      <c r="CI44" s="222"/>
      <c r="CJ44" s="222"/>
      <c r="CK44" s="222"/>
      <c r="CL44" s="222"/>
      <c r="CM44" s="222"/>
      <c r="CN44" s="222"/>
      <c r="CO44" s="222"/>
      <c r="CP44" s="222"/>
      <c r="CQ44" s="222"/>
      <c r="CR44" s="222"/>
      <c r="CS44" s="222"/>
      <c r="CT44" s="222"/>
      <c r="CU44" s="222"/>
      <c r="CV44" s="222"/>
      <c r="CW44" s="222"/>
      <c r="CX44" s="222"/>
      <c r="CY44" s="222"/>
      <c r="CZ44" s="222"/>
      <c r="DA44" s="222"/>
      <c r="DB44" s="222"/>
      <c r="DC44" s="222"/>
      <c r="DD44" s="222"/>
      <c r="DE44" s="222"/>
      <c r="DF44" s="222"/>
      <c r="DG44" s="222"/>
      <c r="DH44" s="222"/>
      <c r="DI44" s="222"/>
      <c r="DJ44" s="222"/>
      <c r="DK44" s="222"/>
      <c r="DL44" s="222"/>
      <c r="DM44" s="222"/>
      <c r="DN44" s="222"/>
      <c r="DO44" s="222"/>
      <c r="DP44" s="222"/>
      <c r="DQ44" s="222"/>
      <c r="DR44" s="222"/>
      <c r="DS44" s="222"/>
      <c r="DT44" s="222"/>
      <c r="DU44" s="222"/>
      <c r="DV44" s="222"/>
      <c r="DW44" s="222"/>
      <c r="DX44" s="222"/>
      <c r="DY44" s="222"/>
      <c r="DZ44" s="222"/>
      <c r="EA44" s="222"/>
      <c r="EB44" s="222"/>
      <c r="EC44" s="222"/>
      <c r="ED44" s="222"/>
      <c r="EE44" s="222"/>
      <c r="EF44" s="222"/>
      <c r="EG44" s="222"/>
      <c r="EH44" s="222"/>
      <c r="EI44" s="222"/>
      <c r="EJ44" s="222"/>
      <c r="EK44" s="222"/>
      <c r="EL44" s="222"/>
      <c r="EM44" s="222"/>
      <c r="EN44" s="222"/>
      <c r="EO44" s="222"/>
      <c r="EP44" s="222"/>
      <c r="EQ44" s="222"/>
      <c r="ER44" s="222"/>
      <c r="ES44" s="222"/>
      <c r="ET44" s="222"/>
      <c r="EU44" s="222"/>
      <c r="EV44" s="222"/>
      <c r="EW44" s="222"/>
      <c r="EX44" s="222"/>
      <c r="EY44" s="222"/>
      <c r="EZ44" s="222"/>
      <c r="FA44" s="222"/>
      <c r="FB44" s="222"/>
      <c r="FC44" s="222"/>
      <c r="FD44" s="222"/>
      <c r="FE44" s="222"/>
      <c r="FF44" s="222"/>
      <c r="FG44" s="222"/>
      <c r="FH44" s="222"/>
      <c r="FI44" s="222"/>
      <c r="FJ44" s="222"/>
      <c r="FK44" s="222"/>
      <c r="FL44" s="222"/>
      <c r="FM44" s="222"/>
      <c r="FN44" s="222"/>
      <c r="FO44" s="222"/>
      <c r="FP44" s="222"/>
      <c r="FQ44" s="222"/>
      <c r="FR44" s="222"/>
      <c r="FS44" s="222"/>
      <c r="FT44" s="222"/>
      <c r="FU44" s="222"/>
      <c r="FV44" s="222"/>
      <c r="FW44" s="222"/>
      <c r="FX44" s="222"/>
      <c r="FY44" s="222"/>
      <c r="FZ44" s="222"/>
      <c r="GA44" s="222"/>
      <c r="GB44" s="222"/>
      <c r="GC44" s="222"/>
      <c r="GD44" s="222"/>
      <c r="GE44" s="222"/>
      <c r="GF44" s="222"/>
      <c r="GG44" s="222"/>
      <c r="GH44" s="222"/>
      <c r="GI44" s="222"/>
      <c r="GJ44" s="222"/>
      <c r="GK44" s="222"/>
      <c r="GL44" s="222"/>
      <c r="GM44" s="222"/>
      <c r="GN44" s="222"/>
      <c r="GO44" s="222"/>
      <c r="GP44" s="222"/>
      <c r="GQ44" s="222"/>
      <c r="GR44" s="222"/>
      <c r="GS44" s="222"/>
      <c r="GT44" s="222"/>
      <c r="GU44" s="222"/>
      <c r="GV44" s="222"/>
      <c r="GW44" s="222"/>
      <c r="GX44" s="222"/>
      <c r="GY44" s="222"/>
      <c r="GZ44" s="222"/>
      <c r="HA44" s="222"/>
      <c r="HB44" s="222"/>
      <c r="HC44" s="222"/>
      <c r="HD44" s="222"/>
      <c r="HE44" s="222"/>
      <c r="HF44" s="222"/>
      <c r="HG44" s="222"/>
      <c r="HH44" s="222"/>
      <c r="HI44" s="222"/>
      <c r="HJ44" s="222"/>
      <c r="HK44" s="222"/>
      <c r="HL44" s="222"/>
      <c r="HM44" s="222"/>
      <c r="HN44" s="222"/>
      <c r="HO44" s="222"/>
      <c r="HP44" s="222"/>
      <c r="HQ44" s="222"/>
      <c r="HR44" s="222"/>
      <c r="HS44" s="222"/>
      <c r="HT44" s="222"/>
      <c r="HU44" s="222"/>
      <c r="HV44" s="222"/>
      <c r="HW44" s="222"/>
      <c r="HX44" s="222"/>
      <c r="HY44" s="222"/>
      <c r="HZ44" s="222"/>
      <c r="IA44" s="222"/>
      <c r="IB44" s="222"/>
      <c r="IC44" s="222"/>
      <c r="ID44" s="222"/>
      <c r="IE44" s="222"/>
      <c r="IF44" s="222"/>
      <c r="IG44" s="222"/>
      <c r="IH44" s="222"/>
      <c r="II44" s="222"/>
      <c r="IJ44" s="222"/>
      <c r="IK44" s="222"/>
      <c r="IL44" s="222"/>
      <c r="IM44" s="222"/>
      <c r="IN44" s="222"/>
      <c r="IO44" s="222"/>
      <c r="IP44" s="222"/>
      <c r="IQ44" s="222"/>
      <c r="IR44" s="222"/>
      <c r="IS44" s="222"/>
    </row>
    <row r="45" spans="1:253" s="144" customFormat="1" ht="118.5" customHeight="1">
      <c r="A45" s="903"/>
      <c r="B45" s="904"/>
      <c r="C45" s="905"/>
      <c r="D45" s="219">
        <v>3</v>
      </c>
      <c r="E45" s="563" t="s">
        <v>805</v>
      </c>
      <c r="F45" s="218"/>
      <c r="G45" s="564"/>
      <c r="H45" s="565">
        <v>817</v>
      </c>
      <c r="I45" s="219" t="s">
        <v>587</v>
      </c>
      <c r="J45" s="372">
        <v>2</v>
      </c>
      <c r="K45" s="550" t="s">
        <v>253</v>
      </c>
      <c r="L45" s="885"/>
      <c r="M45" s="908"/>
      <c r="N45" s="911"/>
      <c r="O45" s="878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222"/>
      <c r="BH45" s="222"/>
      <c r="BI45" s="222"/>
      <c r="BJ45" s="222"/>
      <c r="BK45" s="222"/>
      <c r="BL45" s="222"/>
      <c r="BM45" s="222"/>
      <c r="BN45" s="222"/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222"/>
      <c r="CB45" s="222"/>
      <c r="CC45" s="222"/>
      <c r="CD45" s="222"/>
      <c r="CE45" s="222"/>
      <c r="CF45" s="222"/>
      <c r="CG45" s="222"/>
      <c r="CH45" s="222"/>
      <c r="CI45" s="222"/>
      <c r="CJ45" s="222"/>
      <c r="CK45" s="222"/>
      <c r="CL45" s="222"/>
      <c r="CM45" s="222"/>
      <c r="CN45" s="222"/>
      <c r="CO45" s="222"/>
      <c r="CP45" s="222"/>
      <c r="CQ45" s="222"/>
      <c r="CR45" s="222"/>
      <c r="CS45" s="222"/>
      <c r="CT45" s="222"/>
      <c r="CU45" s="222"/>
      <c r="CV45" s="222"/>
      <c r="CW45" s="222"/>
      <c r="CX45" s="222"/>
      <c r="CY45" s="222"/>
      <c r="CZ45" s="222"/>
      <c r="DA45" s="222"/>
      <c r="DB45" s="222"/>
      <c r="DC45" s="222"/>
      <c r="DD45" s="222"/>
      <c r="DE45" s="222"/>
      <c r="DF45" s="222"/>
      <c r="DG45" s="222"/>
      <c r="DH45" s="222"/>
      <c r="DI45" s="222"/>
      <c r="DJ45" s="222"/>
      <c r="DK45" s="222"/>
      <c r="DL45" s="222"/>
      <c r="DM45" s="222"/>
      <c r="DN45" s="222"/>
      <c r="DO45" s="222"/>
      <c r="DP45" s="222"/>
      <c r="DQ45" s="222"/>
      <c r="DR45" s="222"/>
      <c r="DS45" s="222"/>
      <c r="DT45" s="222"/>
      <c r="DU45" s="222"/>
      <c r="DV45" s="222"/>
      <c r="DW45" s="222"/>
      <c r="DX45" s="222"/>
      <c r="DY45" s="222"/>
      <c r="DZ45" s="222"/>
      <c r="EA45" s="222"/>
      <c r="EB45" s="222"/>
      <c r="EC45" s="222"/>
      <c r="ED45" s="222"/>
      <c r="EE45" s="222"/>
      <c r="EF45" s="222"/>
      <c r="EG45" s="222"/>
      <c r="EH45" s="222"/>
      <c r="EI45" s="222"/>
      <c r="EJ45" s="222"/>
      <c r="EK45" s="222"/>
      <c r="EL45" s="222"/>
      <c r="EM45" s="222"/>
      <c r="EN45" s="222"/>
      <c r="EO45" s="222"/>
      <c r="EP45" s="222"/>
      <c r="EQ45" s="222"/>
      <c r="ER45" s="222"/>
      <c r="ES45" s="222"/>
      <c r="ET45" s="222"/>
      <c r="EU45" s="222"/>
      <c r="EV45" s="222"/>
      <c r="EW45" s="222"/>
      <c r="EX45" s="222"/>
      <c r="EY45" s="222"/>
      <c r="EZ45" s="222"/>
      <c r="FA45" s="222"/>
      <c r="FB45" s="222"/>
      <c r="FC45" s="222"/>
      <c r="FD45" s="222"/>
      <c r="FE45" s="222"/>
      <c r="FF45" s="222"/>
      <c r="FG45" s="222"/>
      <c r="FH45" s="222"/>
      <c r="FI45" s="222"/>
      <c r="FJ45" s="222"/>
      <c r="FK45" s="222"/>
      <c r="FL45" s="222"/>
      <c r="FM45" s="222"/>
      <c r="FN45" s="222"/>
      <c r="FO45" s="222"/>
      <c r="FP45" s="222"/>
      <c r="FQ45" s="222"/>
      <c r="FR45" s="222"/>
      <c r="FS45" s="222"/>
      <c r="FT45" s="222"/>
      <c r="FU45" s="222"/>
      <c r="FV45" s="222"/>
      <c r="FW45" s="222"/>
      <c r="FX45" s="222"/>
      <c r="FY45" s="222"/>
      <c r="FZ45" s="222"/>
      <c r="GA45" s="222"/>
      <c r="GB45" s="222"/>
      <c r="GC45" s="222"/>
      <c r="GD45" s="222"/>
      <c r="GE45" s="222"/>
      <c r="GF45" s="222"/>
      <c r="GG45" s="222"/>
      <c r="GH45" s="222"/>
      <c r="GI45" s="222"/>
      <c r="GJ45" s="222"/>
      <c r="GK45" s="222"/>
      <c r="GL45" s="222"/>
      <c r="GM45" s="222"/>
      <c r="GN45" s="222"/>
      <c r="GO45" s="222"/>
      <c r="GP45" s="222"/>
      <c r="GQ45" s="222"/>
      <c r="GR45" s="222"/>
      <c r="GS45" s="222"/>
      <c r="GT45" s="222"/>
      <c r="GU45" s="222"/>
      <c r="GV45" s="222"/>
      <c r="GW45" s="222"/>
      <c r="GX45" s="222"/>
      <c r="GY45" s="222"/>
      <c r="GZ45" s="222"/>
      <c r="HA45" s="222"/>
      <c r="HB45" s="222"/>
      <c r="HC45" s="222"/>
      <c r="HD45" s="222"/>
      <c r="HE45" s="222"/>
      <c r="HF45" s="222"/>
      <c r="HG45" s="222"/>
      <c r="HH45" s="222"/>
      <c r="HI45" s="222"/>
      <c r="HJ45" s="222"/>
      <c r="HK45" s="222"/>
      <c r="HL45" s="222"/>
      <c r="HM45" s="222"/>
      <c r="HN45" s="222"/>
      <c r="HO45" s="222"/>
      <c r="HP45" s="222"/>
      <c r="HQ45" s="222"/>
      <c r="HR45" s="222"/>
      <c r="HS45" s="222"/>
      <c r="HT45" s="222"/>
      <c r="HU45" s="222"/>
      <c r="HV45" s="222"/>
      <c r="HW45" s="222"/>
      <c r="HX45" s="222"/>
      <c r="HY45" s="222"/>
      <c r="HZ45" s="222"/>
      <c r="IA45" s="222"/>
      <c r="IB45" s="222"/>
      <c r="IC45" s="222"/>
      <c r="ID45" s="222"/>
      <c r="IE45" s="222"/>
      <c r="IF45" s="222"/>
      <c r="IG45" s="222"/>
      <c r="IH45" s="222"/>
      <c r="II45" s="222"/>
      <c r="IJ45" s="222"/>
      <c r="IK45" s="222"/>
      <c r="IL45" s="222"/>
      <c r="IM45" s="222"/>
      <c r="IN45" s="222"/>
      <c r="IO45" s="222"/>
      <c r="IP45" s="222"/>
      <c r="IQ45" s="222"/>
      <c r="IR45" s="222"/>
      <c r="IS45" s="222"/>
    </row>
    <row r="46" spans="1:253" s="144" customFormat="1" ht="118.5" customHeight="1">
      <c r="A46" s="903"/>
      <c r="B46" s="904"/>
      <c r="C46" s="905"/>
      <c r="D46" s="219">
        <v>4</v>
      </c>
      <c r="E46" s="563" t="s">
        <v>258</v>
      </c>
      <c r="F46" s="218"/>
      <c r="G46" s="564"/>
      <c r="H46" s="565">
        <v>2050</v>
      </c>
      <c r="I46" s="219" t="s">
        <v>587</v>
      </c>
      <c r="J46" s="373">
        <v>2</v>
      </c>
      <c r="K46" s="550" t="s">
        <v>253</v>
      </c>
      <c r="L46" s="885"/>
      <c r="M46" s="908"/>
      <c r="N46" s="911"/>
      <c r="O46" s="878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2"/>
      <c r="BH46" s="222"/>
      <c r="BI46" s="222"/>
      <c r="BJ46" s="222"/>
      <c r="BK46" s="222"/>
      <c r="BL46" s="222"/>
      <c r="BM46" s="222"/>
      <c r="BN46" s="222"/>
      <c r="BO46" s="222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222"/>
      <c r="CB46" s="222"/>
      <c r="CC46" s="222"/>
      <c r="CD46" s="222"/>
      <c r="CE46" s="222"/>
      <c r="CF46" s="222"/>
      <c r="CG46" s="222"/>
      <c r="CH46" s="222"/>
      <c r="CI46" s="222"/>
      <c r="CJ46" s="222"/>
      <c r="CK46" s="222"/>
      <c r="CL46" s="222"/>
      <c r="CM46" s="222"/>
      <c r="CN46" s="222"/>
      <c r="CO46" s="222"/>
      <c r="CP46" s="222"/>
      <c r="CQ46" s="222"/>
      <c r="CR46" s="222"/>
      <c r="CS46" s="222"/>
      <c r="CT46" s="222"/>
      <c r="CU46" s="222"/>
      <c r="CV46" s="222"/>
      <c r="CW46" s="222"/>
      <c r="CX46" s="222"/>
      <c r="CY46" s="222"/>
      <c r="CZ46" s="222"/>
      <c r="DA46" s="222"/>
      <c r="DB46" s="222"/>
      <c r="DC46" s="222"/>
      <c r="DD46" s="222"/>
      <c r="DE46" s="222"/>
      <c r="DF46" s="222"/>
      <c r="DG46" s="222"/>
      <c r="DH46" s="222"/>
      <c r="DI46" s="222"/>
      <c r="DJ46" s="222"/>
      <c r="DK46" s="222"/>
      <c r="DL46" s="222"/>
      <c r="DM46" s="222"/>
      <c r="DN46" s="222"/>
      <c r="DO46" s="222"/>
      <c r="DP46" s="222"/>
      <c r="DQ46" s="222"/>
      <c r="DR46" s="222"/>
      <c r="DS46" s="222"/>
      <c r="DT46" s="222"/>
      <c r="DU46" s="222"/>
      <c r="DV46" s="222"/>
      <c r="DW46" s="222"/>
      <c r="DX46" s="222"/>
      <c r="DY46" s="222"/>
      <c r="DZ46" s="222"/>
      <c r="EA46" s="222"/>
      <c r="EB46" s="222"/>
      <c r="EC46" s="222"/>
      <c r="ED46" s="222"/>
      <c r="EE46" s="222"/>
      <c r="EF46" s="222"/>
      <c r="EG46" s="222"/>
      <c r="EH46" s="222"/>
      <c r="EI46" s="222"/>
      <c r="EJ46" s="222"/>
      <c r="EK46" s="222"/>
      <c r="EL46" s="222"/>
      <c r="EM46" s="222"/>
      <c r="EN46" s="222"/>
      <c r="EO46" s="222"/>
      <c r="EP46" s="222"/>
      <c r="EQ46" s="222"/>
      <c r="ER46" s="222"/>
      <c r="ES46" s="222"/>
      <c r="ET46" s="222"/>
      <c r="EU46" s="222"/>
      <c r="EV46" s="222"/>
      <c r="EW46" s="222"/>
      <c r="EX46" s="222"/>
      <c r="EY46" s="222"/>
      <c r="EZ46" s="222"/>
      <c r="FA46" s="222"/>
      <c r="FB46" s="222"/>
      <c r="FC46" s="222"/>
      <c r="FD46" s="222"/>
      <c r="FE46" s="222"/>
      <c r="FF46" s="222"/>
      <c r="FG46" s="222"/>
      <c r="FH46" s="222"/>
      <c r="FI46" s="222"/>
      <c r="FJ46" s="222"/>
      <c r="FK46" s="222"/>
      <c r="FL46" s="222"/>
      <c r="FM46" s="222"/>
      <c r="FN46" s="222"/>
      <c r="FO46" s="222"/>
      <c r="FP46" s="222"/>
      <c r="FQ46" s="222"/>
      <c r="FR46" s="222"/>
      <c r="FS46" s="222"/>
      <c r="FT46" s="222"/>
      <c r="FU46" s="222"/>
      <c r="FV46" s="222"/>
      <c r="FW46" s="222"/>
      <c r="FX46" s="222"/>
      <c r="FY46" s="222"/>
      <c r="FZ46" s="222"/>
      <c r="GA46" s="222"/>
      <c r="GB46" s="222"/>
      <c r="GC46" s="222"/>
      <c r="GD46" s="222"/>
      <c r="GE46" s="222"/>
      <c r="GF46" s="222"/>
      <c r="GG46" s="222"/>
      <c r="GH46" s="222"/>
      <c r="GI46" s="222"/>
      <c r="GJ46" s="222"/>
      <c r="GK46" s="222"/>
      <c r="GL46" s="222"/>
      <c r="GM46" s="222"/>
      <c r="GN46" s="222"/>
      <c r="GO46" s="222"/>
      <c r="GP46" s="222"/>
      <c r="GQ46" s="222"/>
      <c r="GR46" s="222"/>
      <c r="GS46" s="222"/>
      <c r="GT46" s="222"/>
      <c r="GU46" s="222"/>
      <c r="GV46" s="222"/>
      <c r="GW46" s="222"/>
      <c r="GX46" s="222"/>
      <c r="GY46" s="222"/>
      <c r="GZ46" s="222"/>
      <c r="HA46" s="222"/>
      <c r="HB46" s="222"/>
      <c r="HC46" s="222"/>
      <c r="HD46" s="222"/>
      <c r="HE46" s="222"/>
      <c r="HF46" s="222"/>
      <c r="HG46" s="222"/>
      <c r="HH46" s="222"/>
      <c r="HI46" s="222"/>
      <c r="HJ46" s="222"/>
      <c r="HK46" s="222"/>
      <c r="HL46" s="222"/>
      <c r="HM46" s="222"/>
      <c r="HN46" s="222"/>
      <c r="HO46" s="222"/>
      <c r="HP46" s="222"/>
      <c r="HQ46" s="222"/>
      <c r="HR46" s="222"/>
      <c r="HS46" s="222"/>
      <c r="HT46" s="222"/>
      <c r="HU46" s="222"/>
      <c r="HV46" s="222"/>
      <c r="HW46" s="222"/>
      <c r="HX46" s="222"/>
      <c r="HY46" s="222"/>
      <c r="HZ46" s="222"/>
      <c r="IA46" s="222"/>
      <c r="IB46" s="222"/>
      <c r="IC46" s="222"/>
      <c r="ID46" s="222"/>
      <c r="IE46" s="222"/>
      <c r="IF46" s="222"/>
      <c r="IG46" s="222"/>
      <c r="IH46" s="222"/>
      <c r="II46" s="222"/>
      <c r="IJ46" s="222"/>
      <c r="IK46" s="222"/>
      <c r="IL46" s="222"/>
      <c r="IM46" s="222"/>
      <c r="IN46" s="222"/>
      <c r="IO46" s="222"/>
      <c r="IP46" s="222"/>
      <c r="IQ46" s="222"/>
      <c r="IR46" s="222"/>
      <c r="IS46" s="222"/>
    </row>
    <row r="47" spans="1:253" s="144" customFormat="1" ht="118.5" customHeight="1">
      <c r="A47" s="903"/>
      <c r="B47" s="904"/>
      <c r="C47" s="905"/>
      <c r="D47" s="219">
        <v>5</v>
      </c>
      <c r="E47" s="563" t="s">
        <v>805</v>
      </c>
      <c r="F47" s="218"/>
      <c r="G47" s="564"/>
      <c r="H47" s="565">
        <v>60</v>
      </c>
      <c r="I47" s="219" t="s">
        <v>256</v>
      </c>
      <c r="J47" s="373">
        <v>2</v>
      </c>
      <c r="K47" s="550" t="s">
        <v>253</v>
      </c>
      <c r="L47" s="885"/>
      <c r="M47" s="908"/>
      <c r="N47" s="911"/>
      <c r="O47" s="878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222"/>
      <c r="BH47" s="222"/>
      <c r="BI47" s="222"/>
      <c r="BJ47" s="222"/>
      <c r="BK47" s="222"/>
      <c r="BL47" s="222"/>
      <c r="BM47" s="222"/>
      <c r="BN47" s="222"/>
      <c r="BO47" s="222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222"/>
      <c r="CB47" s="222"/>
      <c r="CC47" s="222"/>
      <c r="CD47" s="222"/>
      <c r="CE47" s="222"/>
      <c r="CF47" s="222"/>
      <c r="CG47" s="222"/>
      <c r="CH47" s="222"/>
      <c r="CI47" s="222"/>
      <c r="CJ47" s="222"/>
      <c r="CK47" s="222"/>
      <c r="CL47" s="222"/>
      <c r="CM47" s="222"/>
      <c r="CN47" s="222"/>
      <c r="CO47" s="222"/>
      <c r="CP47" s="222"/>
      <c r="CQ47" s="222"/>
      <c r="CR47" s="222"/>
      <c r="CS47" s="222"/>
      <c r="CT47" s="222"/>
      <c r="CU47" s="222"/>
      <c r="CV47" s="222"/>
      <c r="CW47" s="222"/>
      <c r="CX47" s="222"/>
      <c r="CY47" s="222"/>
      <c r="CZ47" s="222"/>
      <c r="DA47" s="222"/>
      <c r="DB47" s="222"/>
      <c r="DC47" s="222"/>
      <c r="DD47" s="222"/>
      <c r="DE47" s="222"/>
      <c r="DF47" s="222"/>
      <c r="DG47" s="222"/>
      <c r="DH47" s="222"/>
      <c r="DI47" s="222"/>
      <c r="DJ47" s="222"/>
      <c r="DK47" s="222"/>
      <c r="DL47" s="222"/>
      <c r="DM47" s="222"/>
      <c r="DN47" s="222"/>
      <c r="DO47" s="222"/>
      <c r="DP47" s="222"/>
      <c r="DQ47" s="222"/>
      <c r="DR47" s="222"/>
      <c r="DS47" s="222"/>
      <c r="DT47" s="222"/>
      <c r="DU47" s="222"/>
      <c r="DV47" s="222"/>
      <c r="DW47" s="222"/>
      <c r="DX47" s="222"/>
      <c r="DY47" s="222"/>
      <c r="DZ47" s="222"/>
      <c r="EA47" s="222"/>
      <c r="EB47" s="222"/>
      <c r="EC47" s="222"/>
      <c r="ED47" s="222"/>
      <c r="EE47" s="222"/>
      <c r="EF47" s="222"/>
      <c r="EG47" s="222"/>
      <c r="EH47" s="222"/>
      <c r="EI47" s="222"/>
      <c r="EJ47" s="222"/>
      <c r="EK47" s="222"/>
      <c r="EL47" s="222"/>
      <c r="EM47" s="222"/>
      <c r="EN47" s="222"/>
      <c r="EO47" s="222"/>
      <c r="EP47" s="222"/>
      <c r="EQ47" s="222"/>
      <c r="ER47" s="222"/>
      <c r="ES47" s="222"/>
      <c r="ET47" s="222"/>
      <c r="EU47" s="222"/>
      <c r="EV47" s="222"/>
      <c r="EW47" s="222"/>
      <c r="EX47" s="222"/>
      <c r="EY47" s="222"/>
      <c r="EZ47" s="222"/>
      <c r="FA47" s="222"/>
      <c r="FB47" s="222"/>
      <c r="FC47" s="222"/>
      <c r="FD47" s="222"/>
      <c r="FE47" s="222"/>
      <c r="FF47" s="222"/>
      <c r="FG47" s="222"/>
      <c r="FH47" s="222"/>
      <c r="FI47" s="222"/>
      <c r="FJ47" s="222"/>
      <c r="FK47" s="222"/>
      <c r="FL47" s="222"/>
      <c r="FM47" s="222"/>
      <c r="FN47" s="222"/>
      <c r="FO47" s="222"/>
      <c r="FP47" s="222"/>
      <c r="FQ47" s="222"/>
      <c r="FR47" s="222"/>
      <c r="FS47" s="222"/>
      <c r="FT47" s="222"/>
      <c r="FU47" s="222"/>
      <c r="FV47" s="222"/>
      <c r="FW47" s="222"/>
      <c r="FX47" s="222"/>
      <c r="FY47" s="222"/>
      <c r="FZ47" s="222"/>
      <c r="GA47" s="222"/>
      <c r="GB47" s="222"/>
      <c r="GC47" s="222"/>
      <c r="GD47" s="222"/>
      <c r="GE47" s="222"/>
      <c r="GF47" s="222"/>
      <c r="GG47" s="222"/>
      <c r="GH47" s="222"/>
      <c r="GI47" s="222"/>
      <c r="GJ47" s="222"/>
      <c r="GK47" s="222"/>
      <c r="GL47" s="222"/>
      <c r="GM47" s="222"/>
      <c r="GN47" s="222"/>
      <c r="GO47" s="222"/>
      <c r="GP47" s="222"/>
      <c r="GQ47" s="222"/>
      <c r="GR47" s="222"/>
      <c r="GS47" s="222"/>
      <c r="GT47" s="222"/>
      <c r="GU47" s="222"/>
      <c r="GV47" s="222"/>
      <c r="GW47" s="222"/>
      <c r="GX47" s="222"/>
      <c r="GY47" s="222"/>
      <c r="GZ47" s="222"/>
      <c r="HA47" s="222"/>
      <c r="HB47" s="222"/>
      <c r="HC47" s="222"/>
      <c r="HD47" s="222"/>
      <c r="HE47" s="222"/>
      <c r="HF47" s="222"/>
      <c r="HG47" s="222"/>
      <c r="HH47" s="222"/>
      <c r="HI47" s="222"/>
      <c r="HJ47" s="222"/>
      <c r="HK47" s="222"/>
      <c r="HL47" s="222"/>
      <c r="HM47" s="222"/>
      <c r="HN47" s="222"/>
      <c r="HO47" s="222"/>
      <c r="HP47" s="222"/>
      <c r="HQ47" s="222"/>
      <c r="HR47" s="222"/>
      <c r="HS47" s="222"/>
      <c r="HT47" s="222"/>
      <c r="HU47" s="222"/>
      <c r="HV47" s="222"/>
      <c r="HW47" s="222"/>
      <c r="HX47" s="222"/>
      <c r="HY47" s="222"/>
      <c r="HZ47" s="222"/>
      <c r="IA47" s="222"/>
      <c r="IB47" s="222"/>
      <c r="IC47" s="222"/>
      <c r="ID47" s="222"/>
      <c r="IE47" s="222"/>
      <c r="IF47" s="222"/>
      <c r="IG47" s="222"/>
      <c r="IH47" s="222"/>
      <c r="II47" s="222"/>
      <c r="IJ47" s="222"/>
      <c r="IK47" s="222"/>
      <c r="IL47" s="222"/>
      <c r="IM47" s="222"/>
      <c r="IN47" s="222"/>
      <c r="IO47" s="222"/>
      <c r="IP47" s="222"/>
      <c r="IQ47" s="222"/>
      <c r="IR47" s="222"/>
      <c r="IS47" s="222"/>
    </row>
    <row r="48" spans="1:253" s="144" customFormat="1" ht="118.5" customHeight="1">
      <c r="A48" s="903"/>
      <c r="B48" s="904"/>
      <c r="C48" s="905"/>
      <c r="D48" s="219">
        <v>6</v>
      </c>
      <c r="E48" s="563" t="s">
        <v>258</v>
      </c>
      <c r="F48" s="218"/>
      <c r="G48" s="564"/>
      <c r="H48" s="565">
        <v>75</v>
      </c>
      <c r="I48" s="219" t="s">
        <v>256</v>
      </c>
      <c r="J48" s="373">
        <v>2</v>
      </c>
      <c r="K48" s="550" t="s">
        <v>253</v>
      </c>
      <c r="L48" s="885"/>
      <c r="M48" s="908"/>
      <c r="N48" s="911"/>
      <c r="O48" s="878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Y48" s="222"/>
      <c r="AZ48" s="222"/>
      <c r="BA48" s="222"/>
      <c r="BB48" s="222"/>
      <c r="BC48" s="222"/>
      <c r="BD48" s="222"/>
      <c r="BE48" s="222"/>
      <c r="BF48" s="222"/>
      <c r="BG48" s="222"/>
      <c r="BH48" s="222"/>
      <c r="BI48" s="222"/>
      <c r="BJ48" s="222"/>
      <c r="BK48" s="222"/>
      <c r="BL48" s="222"/>
      <c r="BM48" s="222"/>
      <c r="BN48" s="222"/>
      <c r="BO48" s="222"/>
      <c r="BP48" s="222"/>
      <c r="BQ48" s="222"/>
      <c r="BR48" s="222"/>
      <c r="BS48" s="222"/>
      <c r="BT48" s="222"/>
      <c r="BU48" s="222"/>
      <c r="BV48" s="222"/>
      <c r="BW48" s="222"/>
      <c r="BX48" s="222"/>
      <c r="BY48" s="222"/>
      <c r="BZ48" s="222"/>
      <c r="CA48" s="222"/>
      <c r="CB48" s="222"/>
      <c r="CC48" s="222"/>
      <c r="CD48" s="222"/>
      <c r="CE48" s="222"/>
      <c r="CF48" s="222"/>
      <c r="CG48" s="222"/>
      <c r="CH48" s="222"/>
      <c r="CI48" s="222"/>
      <c r="CJ48" s="222"/>
      <c r="CK48" s="222"/>
      <c r="CL48" s="222"/>
      <c r="CM48" s="222"/>
      <c r="CN48" s="222"/>
      <c r="CO48" s="222"/>
      <c r="CP48" s="222"/>
      <c r="CQ48" s="222"/>
      <c r="CR48" s="222"/>
      <c r="CS48" s="222"/>
      <c r="CT48" s="222"/>
      <c r="CU48" s="222"/>
      <c r="CV48" s="222"/>
      <c r="CW48" s="222"/>
      <c r="CX48" s="222"/>
      <c r="CY48" s="222"/>
      <c r="CZ48" s="222"/>
      <c r="DA48" s="222"/>
      <c r="DB48" s="222"/>
      <c r="DC48" s="222"/>
      <c r="DD48" s="222"/>
      <c r="DE48" s="222"/>
      <c r="DF48" s="222"/>
      <c r="DG48" s="222"/>
      <c r="DH48" s="222"/>
      <c r="DI48" s="222"/>
      <c r="DJ48" s="222"/>
      <c r="DK48" s="222"/>
      <c r="DL48" s="222"/>
      <c r="DM48" s="222"/>
      <c r="DN48" s="222"/>
      <c r="DO48" s="222"/>
      <c r="DP48" s="222"/>
      <c r="DQ48" s="222"/>
      <c r="DR48" s="222"/>
      <c r="DS48" s="222"/>
      <c r="DT48" s="222"/>
      <c r="DU48" s="222"/>
      <c r="DV48" s="222"/>
      <c r="DW48" s="222"/>
      <c r="DX48" s="222"/>
      <c r="DY48" s="222"/>
      <c r="DZ48" s="222"/>
      <c r="EA48" s="222"/>
      <c r="EB48" s="222"/>
      <c r="EC48" s="222"/>
      <c r="ED48" s="222"/>
      <c r="EE48" s="222"/>
      <c r="EF48" s="222"/>
      <c r="EG48" s="222"/>
      <c r="EH48" s="222"/>
      <c r="EI48" s="222"/>
      <c r="EJ48" s="222"/>
      <c r="EK48" s="222"/>
      <c r="EL48" s="222"/>
      <c r="EM48" s="222"/>
      <c r="EN48" s="222"/>
      <c r="EO48" s="222"/>
      <c r="EP48" s="222"/>
      <c r="EQ48" s="222"/>
      <c r="ER48" s="222"/>
      <c r="ES48" s="222"/>
      <c r="ET48" s="222"/>
      <c r="EU48" s="222"/>
      <c r="EV48" s="222"/>
      <c r="EW48" s="222"/>
      <c r="EX48" s="222"/>
      <c r="EY48" s="222"/>
      <c r="EZ48" s="222"/>
      <c r="FA48" s="222"/>
      <c r="FB48" s="222"/>
      <c r="FC48" s="222"/>
      <c r="FD48" s="222"/>
      <c r="FE48" s="222"/>
      <c r="FF48" s="222"/>
      <c r="FG48" s="222"/>
      <c r="FH48" s="222"/>
      <c r="FI48" s="222"/>
      <c r="FJ48" s="222"/>
      <c r="FK48" s="222"/>
      <c r="FL48" s="222"/>
      <c r="FM48" s="222"/>
      <c r="FN48" s="222"/>
      <c r="FO48" s="222"/>
      <c r="FP48" s="222"/>
      <c r="FQ48" s="222"/>
      <c r="FR48" s="222"/>
      <c r="FS48" s="222"/>
      <c r="FT48" s="222"/>
      <c r="FU48" s="222"/>
      <c r="FV48" s="222"/>
      <c r="FW48" s="222"/>
      <c r="FX48" s="222"/>
      <c r="FY48" s="222"/>
      <c r="FZ48" s="222"/>
      <c r="GA48" s="222"/>
      <c r="GB48" s="222"/>
      <c r="GC48" s="222"/>
      <c r="GD48" s="222"/>
      <c r="GE48" s="222"/>
      <c r="GF48" s="222"/>
      <c r="GG48" s="222"/>
      <c r="GH48" s="222"/>
      <c r="GI48" s="222"/>
      <c r="GJ48" s="222"/>
      <c r="GK48" s="222"/>
      <c r="GL48" s="222"/>
      <c r="GM48" s="222"/>
      <c r="GN48" s="222"/>
      <c r="GO48" s="222"/>
      <c r="GP48" s="222"/>
      <c r="GQ48" s="222"/>
      <c r="GR48" s="222"/>
      <c r="GS48" s="222"/>
      <c r="GT48" s="222"/>
      <c r="GU48" s="222"/>
      <c r="GV48" s="222"/>
      <c r="GW48" s="222"/>
      <c r="GX48" s="222"/>
      <c r="GY48" s="222"/>
      <c r="GZ48" s="222"/>
      <c r="HA48" s="222"/>
      <c r="HB48" s="222"/>
      <c r="HC48" s="222"/>
      <c r="HD48" s="222"/>
      <c r="HE48" s="222"/>
      <c r="HF48" s="222"/>
      <c r="HG48" s="222"/>
      <c r="HH48" s="222"/>
      <c r="HI48" s="222"/>
      <c r="HJ48" s="222"/>
      <c r="HK48" s="222"/>
      <c r="HL48" s="222"/>
      <c r="HM48" s="222"/>
      <c r="HN48" s="222"/>
      <c r="HO48" s="222"/>
      <c r="HP48" s="222"/>
      <c r="HQ48" s="222"/>
      <c r="HR48" s="222"/>
      <c r="HS48" s="222"/>
      <c r="HT48" s="222"/>
      <c r="HU48" s="222"/>
      <c r="HV48" s="222"/>
      <c r="HW48" s="222"/>
      <c r="HX48" s="222"/>
      <c r="HY48" s="222"/>
      <c r="HZ48" s="222"/>
      <c r="IA48" s="222"/>
      <c r="IB48" s="222"/>
      <c r="IC48" s="222"/>
      <c r="ID48" s="222"/>
      <c r="IE48" s="222"/>
      <c r="IF48" s="222"/>
      <c r="IG48" s="222"/>
      <c r="IH48" s="222"/>
      <c r="II48" s="222"/>
      <c r="IJ48" s="222"/>
      <c r="IK48" s="222"/>
      <c r="IL48" s="222"/>
      <c r="IM48" s="222"/>
      <c r="IN48" s="222"/>
      <c r="IO48" s="222"/>
      <c r="IP48" s="222"/>
      <c r="IQ48" s="222"/>
      <c r="IR48" s="222"/>
      <c r="IS48" s="222"/>
    </row>
    <row r="49" spans="1:253" s="144" customFormat="1" ht="118.5" customHeight="1">
      <c r="A49" s="903"/>
      <c r="B49" s="904"/>
      <c r="C49" s="905"/>
      <c r="D49" s="219">
        <v>7</v>
      </c>
      <c r="E49" s="563" t="s">
        <v>258</v>
      </c>
      <c r="F49" s="218"/>
      <c r="G49" s="564"/>
      <c r="H49" s="565">
        <v>105</v>
      </c>
      <c r="I49" s="219" t="s">
        <v>256</v>
      </c>
      <c r="J49" s="373">
        <v>2</v>
      </c>
      <c r="K49" s="550" t="s">
        <v>253</v>
      </c>
      <c r="L49" s="885"/>
      <c r="M49" s="908"/>
      <c r="N49" s="911"/>
      <c r="O49" s="878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2"/>
      <c r="BB49" s="222"/>
      <c r="BC49" s="222"/>
      <c r="BD49" s="222"/>
      <c r="BE49" s="222"/>
      <c r="BF49" s="222"/>
      <c r="BG49" s="222"/>
      <c r="BH49" s="222"/>
      <c r="BI49" s="222"/>
      <c r="BJ49" s="222"/>
      <c r="BK49" s="222"/>
      <c r="BL49" s="222"/>
      <c r="BM49" s="222"/>
      <c r="BN49" s="222"/>
      <c r="BO49" s="222"/>
      <c r="BP49" s="222"/>
      <c r="BQ49" s="222"/>
      <c r="BR49" s="222"/>
      <c r="BS49" s="222"/>
      <c r="BT49" s="222"/>
      <c r="BU49" s="222"/>
      <c r="BV49" s="222"/>
      <c r="BW49" s="222"/>
      <c r="BX49" s="222"/>
      <c r="BY49" s="222"/>
      <c r="BZ49" s="222"/>
      <c r="CA49" s="222"/>
      <c r="CB49" s="222"/>
      <c r="CC49" s="222"/>
      <c r="CD49" s="222"/>
      <c r="CE49" s="222"/>
      <c r="CF49" s="222"/>
      <c r="CG49" s="222"/>
      <c r="CH49" s="222"/>
      <c r="CI49" s="222"/>
      <c r="CJ49" s="222"/>
      <c r="CK49" s="222"/>
      <c r="CL49" s="222"/>
      <c r="CM49" s="222"/>
      <c r="CN49" s="222"/>
      <c r="CO49" s="222"/>
      <c r="CP49" s="222"/>
      <c r="CQ49" s="222"/>
      <c r="CR49" s="222"/>
      <c r="CS49" s="222"/>
      <c r="CT49" s="222"/>
      <c r="CU49" s="222"/>
      <c r="CV49" s="222"/>
      <c r="CW49" s="222"/>
      <c r="CX49" s="222"/>
      <c r="CY49" s="222"/>
      <c r="CZ49" s="222"/>
      <c r="DA49" s="222"/>
      <c r="DB49" s="222"/>
      <c r="DC49" s="222"/>
      <c r="DD49" s="222"/>
      <c r="DE49" s="222"/>
      <c r="DF49" s="222"/>
      <c r="DG49" s="222"/>
      <c r="DH49" s="222"/>
      <c r="DI49" s="222"/>
      <c r="DJ49" s="222"/>
      <c r="DK49" s="222"/>
      <c r="DL49" s="222"/>
      <c r="DM49" s="222"/>
      <c r="DN49" s="222"/>
      <c r="DO49" s="222"/>
      <c r="DP49" s="222"/>
      <c r="DQ49" s="222"/>
      <c r="DR49" s="222"/>
      <c r="DS49" s="222"/>
      <c r="DT49" s="222"/>
      <c r="DU49" s="222"/>
      <c r="DV49" s="222"/>
      <c r="DW49" s="222"/>
      <c r="DX49" s="222"/>
      <c r="DY49" s="222"/>
      <c r="DZ49" s="222"/>
      <c r="EA49" s="222"/>
      <c r="EB49" s="222"/>
      <c r="EC49" s="222"/>
      <c r="ED49" s="222"/>
      <c r="EE49" s="222"/>
      <c r="EF49" s="222"/>
      <c r="EG49" s="222"/>
      <c r="EH49" s="222"/>
      <c r="EI49" s="222"/>
      <c r="EJ49" s="222"/>
      <c r="EK49" s="222"/>
      <c r="EL49" s="222"/>
      <c r="EM49" s="222"/>
      <c r="EN49" s="222"/>
      <c r="EO49" s="222"/>
      <c r="EP49" s="222"/>
      <c r="EQ49" s="222"/>
      <c r="ER49" s="222"/>
      <c r="ES49" s="222"/>
      <c r="ET49" s="222"/>
      <c r="EU49" s="222"/>
      <c r="EV49" s="222"/>
      <c r="EW49" s="222"/>
      <c r="EX49" s="222"/>
      <c r="EY49" s="222"/>
      <c r="EZ49" s="222"/>
      <c r="FA49" s="222"/>
      <c r="FB49" s="222"/>
      <c r="FC49" s="222"/>
      <c r="FD49" s="222"/>
      <c r="FE49" s="222"/>
      <c r="FF49" s="222"/>
      <c r="FG49" s="222"/>
      <c r="FH49" s="222"/>
      <c r="FI49" s="222"/>
      <c r="FJ49" s="222"/>
      <c r="FK49" s="222"/>
      <c r="FL49" s="222"/>
      <c r="FM49" s="222"/>
      <c r="FN49" s="222"/>
      <c r="FO49" s="222"/>
      <c r="FP49" s="222"/>
      <c r="FQ49" s="222"/>
      <c r="FR49" s="222"/>
      <c r="FS49" s="222"/>
      <c r="FT49" s="222"/>
      <c r="FU49" s="222"/>
      <c r="FV49" s="222"/>
      <c r="FW49" s="222"/>
      <c r="FX49" s="222"/>
      <c r="FY49" s="222"/>
      <c r="FZ49" s="222"/>
      <c r="GA49" s="222"/>
      <c r="GB49" s="222"/>
      <c r="GC49" s="222"/>
      <c r="GD49" s="222"/>
      <c r="GE49" s="222"/>
      <c r="GF49" s="222"/>
      <c r="GG49" s="222"/>
      <c r="GH49" s="222"/>
      <c r="GI49" s="222"/>
      <c r="GJ49" s="222"/>
      <c r="GK49" s="222"/>
      <c r="GL49" s="222"/>
      <c r="GM49" s="222"/>
      <c r="GN49" s="222"/>
      <c r="GO49" s="222"/>
      <c r="GP49" s="222"/>
      <c r="GQ49" s="222"/>
      <c r="GR49" s="222"/>
      <c r="GS49" s="222"/>
      <c r="GT49" s="222"/>
      <c r="GU49" s="222"/>
      <c r="GV49" s="222"/>
      <c r="GW49" s="222"/>
      <c r="GX49" s="222"/>
      <c r="GY49" s="222"/>
      <c r="GZ49" s="222"/>
      <c r="HA49" s="222"/>
      <c r="HB49" s="222"/>
      <c r="HC49" s="222"/>
      <c r="HD49" s="222"/>
      <c r="HE49" s="222"/>
      <c r="HF49" s="222"/>
      <c r="HG49" s="222"/>
      <c r="HH49" s="222"/>
      <c r="HI49" s="222"/>
      <c r="HJ49" s="222"/>
      <c r="HK49" s="222"/>
      <c r="HL49" s="222"/>
      <c r="HM49" s="222"/>
      <c r="HN49" s="222"/>
      <c r="HO49" s="222"/>
      <c r="HP49" s="222"/>
      <c r="HQ49" s="222"/>
      <c r="HR49" s="222"/>
      <c r="HS49" s="222"/>
      <c r="HT49" s="222"/>
      <c r="HU49" s="222"/>
      <c r="HV49" s="222"/>
      <c r="HW49" s="222"/>
      <c r="HX49" s="222"/>
      <c r="HY49" s="222"/>
      <c r="HZ49" s="222"/>
      <c r="IA49" s="222"/>
      <c r="IB49" s="222"/>
      <c r="IC49" s="222"/>
      <c r="ID49" s="222"/>
      <c r="IE49" s="222"/>
      <c r="IF49" s="222"/>
      <c r="IG49" s="222"/>
      <c r="IH49" s="222"/>
      <c r="II49" s="222"/>
      <c r="IJ49" s="222"/>
      <c r="IK49" s="222"/>
      <c r="IL49" s="222"/>
      <c r="IM49" s="222"/>
      <c r="IN49" s="222"/>
      <c r="IO49" s="222"/>
      <c r="IP49" s="222"/>
      <c r="IQ49" s="222"/>
      <c r="IR49" s="222"/>
      <c r="IS49" s="222"/>
    </row>
    <row r="50" spans="1:253" s="144" customFormat="1" ht="118.5" customHeight="1">
      <c r="A50" s="903"/>
      <c r="B50" s="904"/>
      <c r="C50" s="905"/>
      <c r="D50" s="219">
        <v>8</v>
      </c>
      <c r="E50" s="563" t="s">
        <v>258</v>
      </c>
      <c r="F50" s="218"/>
      <c r="G50" s="564"/>
      <c r="H50" s="565">
        <v>105</v>
      </c>
      <c r="I50" s="219" t="s">
        <v>256</v>
      </c>
      <c r="J50" s="373">
        <v>2</v>
      </c>
      <c r="K50" s="550" t="s">
        <v>253</v>
      </c>
      <c r="L50" s="885"/>
      <c r="M50" s="908"/>
      <c r="N50" s="911"/>
      <c r="O50" s="878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Y50" s="222"/>
      <c r="AZ50" s="222"/>
      <c r="BA50" s="222"/>
      <c r="BB50" s="222"/>
      <c r="BC50" s="222"/>
      <c r="BD50" s="222"/>
      <c r="BE50" s="222"/>
      <c r="BF50" s="222"/>
      <c r="BG50" s="222"/>
      <c r="BH50" s="222"/>
      <c r="BI50" s="222"/>
      <c r="BJ50" s="222"/>
      <c r="BK50" s="222"/>
      <c r="BL50" s="222"/>
      <c r="BM50" s="222"/>
      <c r="BN50" s="222"/>
      <c r="BO50" s="222"/>
      <c r="BP50" s="222"/>
      <c r="BQ50" s="222"/>
      <c r="BR50" s="222"/>
      <c r="BS50" s="222"/>
      <c r="BT50" s="222"/>
      <c r="BU50" s="222"/>
      <c r="BV50" s="222"/>
      <c r="BW50" s="222"/>
      <c r="BX50" s="222"/>
      <c r="BY50" s="222"/>
      <c r="BZ50" s="222"/>
      <c r="CA50" s="222"/>
      <c r="CB50" s="222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2"/>
      <c r="CR50" s="222"/>
      <c r="CS50" s="222"/>
      <c r="CT50" s="222"/>
      <c r="CU50" s="222"/>
      <c r="CV50" s="222"/>
      <c r="CW50" s="222"/>
      <c r="CX50" s="222"/>
      <c r="CY50" s="222"/>
      <c r="CZ50" s="222"/>
      <c r="DA50" s="222"/>
      <c r="DB50" s="222"/>
      <c r="DC50" s="222"/>
      <c r="DD50" s="222"/>
      <c r="DE50" s="222"/>
      <c r="DF50" s="222"/>
      <c r="DG50" s="222"/>
      <c r="DH50" s="222"/>
      <c r="DI50" s="222"/>
      <c r="DJ50" s="222"/>
      <c r="DK50" s="222"/>
      <c r="DL50" s="222"/>
      <c r="DM50" s="222"/>
      <c r="DN50" s="222"/>
      <c r="DO50" s="222"/>
      <c r="DP50" s="222"/>
      <c r="DQ50" s="222"/>
      <c r="DR50" s="222"/>
      <c r="DS50" s="222"/>
      <c r="DT50" s="222"/>
      <c r="DU50" s="222"/>
      <c r="DV50" s="222"/>
      <c r="DW50" s="222"/>
      <c r="DX50" s="222"/>
      <c r="DY50" s="222"/>
      <c r="DZ50" s="222"/>
      <c r="EA50" s="222"/>
      <c r="EB50" s="222"/>
      <c r="EC50" s="222"/>
      <c r="ED50" s="222"/>
      <c r="EE50" s="222"/>
      <c r="EF50" s="222"/>
      <c r="EG50" s="222"/>
      <c r="EH50" s="222"/>
      <c r="EI50" s="222"/>
      <c r="EJ50" s="222"/>
      <c r="EK50" s="222"/>
      <c r="EL50" s="222"/>
      <c r="EM50" s="222"/>
      <c r="EN50" s="222"/>
      <c r="EO50" s="222"/>
      <c r="EP50" s="222"/>
      <c r="EQ50" s="222"/>
      <c r="ER50" s="222"/>
      <c r="ES50" s="222"/>
      <c r="ET50" s="222"/>
      <c r="EU50" s="222"/>
      <c r="EV50" s="222"/>
      <c r="EW50" s="222"/>
      <c r="EX50" s="222"/>
      <c r="EY50" s="222"/>
      <c r="EZ50" s="222"/>
      <c r="FA50" s="222"/>
      <c r="FB50" s="222"/>
      <c r="FC50" s="222"/>
      <c r="FD50" s="222"/>
      <c r="FE50" s="222"/>
      <c r="FF50" s="222"/>
      <c r="FG50" s="222"/>
      <c r="FH50" s="222"/>
      <c r="FI50" s="222"/>
      <c r="FJ50" s="222"/>
      <c r="FK50" s="222"/>
      <c r="FL50" s="222"/>
      <c r="FM50" s="222"/>
      <c r="FN50" s="222"/>
      <c r="FO50" s="222"/>
      <c r="FP50" s="222"/>
      <c r="FQ50" s="222"/>
      <c r="FR50" s="222"/>
      <c r="FS50" s="222"/>
      <c r="FT50" s="222"/>
      <c r="FU50" s="222"/>
      <c r="FV50" s="222"/>
      <c r="FW50" s="222"/>
      <c r="FX50" s="222"/>
      <c r="FY50" s="222"/>
      <c r="FZ50" s="222"/>
      <c r="GA50" s="222"/>
      <c r="GB50" s="222"/>
      <c r="GC50" s="222"/>
      <c r="GD50" s="222"/>
      <c r="GE50" s="222"/>
      <c r="GF50" s="222"/>
      <c r="GG50" s="222"/>
      <c r="GH50" s="222"/>
      <c r="GI50" s="222"/>
      <c r="GJ50" s="222"/>
      <c r="GK50" s="222"/>
      <c r="GL50" s="222"/>
      <c r="GM50" s="222"/>
      <c r="GN50" s="222"/>
      <c r="GO50" s="222"/>
      <c r="GP50" s="222"/>
      <c r="GQ50" s="222"/>
      <c r="GR50" s="222"/>
      <c r="GS50" s="222"/>
      <c r="GT50" s="222"/>
      <c r="GU50" s="222"/>
      <c r="GV50" s="222"/>
      <c r="GW50" s="222"/>
      <c r="GX50" s="222"/>
      <c r="GY50" s="222"/>
      <c r="GZ50" s="222"/>
      <c r="HA50" s="222"/>
      <c r="HB50" s="222"/>
      <c r="HC50" s="222"/>
      <c r="HD50" s="222"/>
      <c r="HE50" s="222"/>
      <c r="HF50" s="222"/>
      <c r="HG50" s="222"/>
      <c r="HH50" s="222"/>
      <c r="HI50" s="222"/>
      <c r="HJ50" s="222"/>
      <c r="HK50" s="222"/>
      <c r="HL50" s="222"/>
      <c r="HM50" s="222"/>
      <c r="HN50" s="222"/>
      <c r="HO50" s="222"/>
      <c r="HP50" s="222"/>
      <c r="HQ50" s="222"/>
      <c r="HR50" s="222"/>
      <c r="HS50" s="222"/>
      <c r="HT50" s="222"/>
      <c r="HU50" s="222"/>
      <c r="HV50" s="222"/>
      <c r="HW50" s="222"/>
      <c r="HX50" s="222"/>
      <c r="HY50" s="222"/>
      <c r="HZ50" s="222"/>
      <c r="IA50" s="222"/>
      <c r="IB50" s="222"/>
      <c r="IC50" s="222"/>
      <c r="ID50" s="222"/>
      <c r="IE50" s="222"/>
      <c r="IF50" s="222"/>
      <c r="IG50" s="222"/>
      <c r="IH50" s="222"/>
      <c r="II50" s="222"/>
      <c r="IJ50" s="222"/>
      <c r="IK50" s="222"/>
      <c r="IL50" s="222"/>
      <c r="IM50" s="222"/>
      <c r="IN50" s="222"/>
      <c r="IO50" s="222"/>
      <c r="IP50" s="222"/>
      <c r="IQ50" s="222"/>
      <c r="IR50" s="222"/>
      <c r="IS50" s="222"/>
    </row>
    <row r="51" spans="1:253" s="144" customFormat="1" ht="118.5" customHeight="1">
      <c r="A51" s="903"/>
      <c r="B51" s="904"/>
      <c r="C51" s="905"/>
      <c r="D51" s="219">
        <v>9</v>
      </c>
      <c r="E51" s="563" t="s">
        <v>307</v>
      </c>
      <c r="F51" s="218"/>
      <c r="G51" s="564"/>
      <c r="H51" s="368" t="s">
        <v>806</v>
      </c>
      <c r="I51" s="219" t="s">
        <v>308</v>
      </c>
      <c r="J51" s="220">
        <v>1</v>
      </c>
      <c r="K51" s="555" t="s">
        <v>309</v>
      </c>
      <c r="L51" s="885"/>
      <c r="M51" s="908"/>
      <c r="N51" s="911"/>
      <c r="O51" s="878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  <c r="BX51" s="222"/>
      <c r="BY51" s="222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222"/>
      <c r="CT51" s="222"/>
      <c r="CU51" s="222"/>
      <c r="CV51" s="222"/>
      <c r="CW51" s="222"/>
      <c r="CX51" s="222"/>
      <c r="CY51" s="222"/>
      <c r="CZ51" s="222"/>
      <c r="DA51" s="222"/>
      <c r="DB51" s="222"/>
      <c r="DC51" s="222"/>
      <c r="DD51" s="222"/>
      <c r="DE51" s="222"/>
      <c r="DF51" s="222"/>
      <c r="DG51" s="222"/>
      <c r="DH51" s="222"/>
      <c r="DI51" s="222"/>
      <c r="DJ51" s="222"/>
      <c r="DK51" s="222"/>
      <c r="DL51" s="222"/>
      <c r="DM51" s="222"/>
      <c r="DN51" s="222"/>
      <c r="DO51" s="222"/>
      <c r="DP51" s="222"/>
      <c r="DQ51" s="222"/>
      <c r="DR51" s="222"/>
      <c r="DS51" s="222"/>
      <c r="DT51" s="222"/>
      <c r="DU51" s="222"/>
      <c r="DV51" s="222"/>
      <c r="DW51" s="222"/>
      <c r="DX51" s="222"/>
      <c r="DY51" s="222"/>
      <c r="DZ51" s="222"/>
      <c r="EA51" s="222"/>
      <c r="EB51" s="222"/>
      <c r="EC51" s="222"/>
      <c r="ED51" s="222"/>
      <c r="EE51" s="222"/>
      <c r="EF51" s="222"/>
      <c r="EG51" s="222"/>
      <c r="EH51" s="222"/>
      <c r="EI51" s="222"/>
      <c r="EJ51" s="222"/>
      <c r="EK51" s="222"/>
      <c r="EL51" s="222"/>
      <c r="EM51" s="222"/>
      <c r="EN51" s="222"/>
      <c r="EO51" s="222"/>
      <c r="EP51" s="222"/>
      <c r="EQ51" s="222"/>
      <c r="ER51" s="222"/>
      <c r="ES51" s="222"/>
      <c r="ET51" s="222"/>
      <c r="EU51" s="222"/>
      <c r="EV51" s="222"/>
      <c r="EW51" s="222"/>
      <c r="EX51" s="222"/>
      <c r="EY51" s="222"/>
      <c r="EZ51" s="222"/>
      <c r="FA51" s="222"/>
      <c r="FB51" s="222"/>
      <c r="FC51" s="222"/>
      <c r="FD51" s="222"/>
      <c r="FE51" s="222"/>
      <c r="FF51" s="222"/>
      <c r="FG51" s="222"/>
      <c r="FH51" s="222"/>
      <c r="FI51" s="222"/>
      <c r="FJ51" s="222"/>
      <c r="FK51" s="222"/>
      <c r="FL51" s="222"/>
      <c r="FM51" s="222"/>
      <c r="FN51" s="222"/>
      <c r="FO51" s="222"/>
      <c r="FP51" s="222"/>
      <c r="FQ51" s="222"/>
      <c r="FR51" s="222"/>
      <c r="FS51" s="222"/>
      <c r="FT51" s="222"/>
      <c r="FU51" s="222"/>
      <c r="FV51" s="222"/>
      <c r="FW51" s="222"/>
      <c r="FX51" s="222"/>
      <c r="FY51" s="222"/>
      <c r="FZ51" s="222"/>
      <c r="GA51" s="222"/>
      <c r="GB51" s="222"/>
      <c r="GC51" s="222"/>
      <c r="GD51" s="222"/>
      <c r="GE51" s="222"/>
      <c r="GF51" s="222"/>
      <c r="GG51" s="222"/>
      <c r="GH51" s="222"/>
      <c r="GI51" s="222"/>
      <c r="GJ51" s="222"/>
      <c r="GK51" s="222"/>
      <c r="GL51" s="222"/>
      <c r="GM51" s="222"/>
      <c r="GN51" s="222"/>
      <c r="GO51" s="222"/>
      <c r="GP51" s="222"/>
      <c r="GQ51" s="222"/>
      <c r="GR51" s="222"/>
      <c r="GS51" s="222"/>
      <c r="GT51" s="222"/>
      <c r="GU51" s="222"/>
      <c r="GV51" s="222"/>
      <c r="GW51" s="222"/>
      <c r="GX51" s="222"/>
      <c r="GY51" s="222"/>
      <c r="GZ51" s="222"/>
      <c r="HA51" s="222"/>
      <c r="HB51" s="222"/>
      <c r="HC51" s="222"/>
      <c r="HD51" s="222"/>
      <c r="HE51" s="222"/>
      <c r="HF51" s="222"/>
      <c r="HG51" s="222"/>
      <c r="HH51" s="222"/>
      <c r="HI51" s="222"/>
      <c r="HJ51" s="222"/>
      <c r="HK51" s="222"/>
      <c r="HL51" s="222"/>
      <c r="HM51" s="222"/>
      <c r="HN51" s="222"/>
      <c r="HO51" s="222"/>
      <c r="HP51" s="222"/>
      <c r="HQ51" s="222"/>
      <c r="HR51" s="222"/>
      <c r="HS51" s="222"/>
      <c r="HT51" s="222"/>
      <c r="HU51" s="222"/>
      <c r="HV51" s="222"/>
      <c r="HW51" s="222"/>
      <c r="HX51" s="222"/>
      <c r="HY51" s="222"/>
      <c r="HZ51" s="222"/>
      <c r="IA51" s="222"/>
      <c r="IB51" s="222"/>
      <c r="IC51" s="222"/>
      <c r="ID51" s="222"/>
      <c r="IE51" s="222"/>
      <c r="IF51" s="222"/>
      <c r="IG51" s="222"/>
      <c r="IH51" s="222"/>
      <c r="II51" s="222"/>
      <c r="IJ51" s="222"/>
      <c r="IK51" s="222"/>
      <c r="IL51" s="222"/>
      <c r="IM51" s="222"/>
      <c r="IN51" s="222"/>
      <c r="IO51" s="222"/>
      <c r="IP51" s="222"/>
      <c r="IQ51" s="222"/>
      <c r="IR51" s="222"/>
      <c r="IS51" s="222"/>
    </row>
    <row r="52" spans="1:253" s="144" customFormat="1" ht="118.5" customHeight="1">
      <c r="A52" s="903"/>
      <c r="B52" s="904"/>
      <c r="C52" s="905"/>
      <c r="D52" s="880">
        <v>10</v>
      </c>
      <c r="E52" s="881" t="s">
        <v>306</v>
      </c>
      <c r="F52" s="217" t="s">
        <v>304</v>
      </c>
      <c r="G52" s="566"/>
      <c r="H52" s="882" t="s">
        <v>771</v>
      </c>
      <c r="I52" s="219"/>
      <c r="J52" s="883">
        <v>1</v>
      </c>
      <c r="K52" s="884" t="s">
        <v>320</v>
      </c>
      <c r="L52" s="885" t="s">
        <v>321</v>
      </c>
      <c r="M52" s="908"/>
      <c r="N52" s="911"/>
      <c r="O52" s="878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222"/>
      <c r="BA52" s="222"/>
      <c r="BB52" s="222"/>
      <c r="BC52" s="222"/>
      <c r="BD52" s="222"/>
      <c r="BE52" s="222"/>
      <c r="BF52" s="222"/>
      <c r="BG52" s="222"/>
      <c r="BH52" s="222"/>
      <c r="BI52" s="222"/>
      <c r="BJ52" s="222"/>
      <c r="BK52" s="222"/>
      <c r="BL52" s="222"/>
      <c r="BM52" s="222"/>
      <c r="BN52" s="222"/>
      <c r="BO52" s="222"/>
      <c r="BP52" s="222"/>
      <c r="BQ52" s="222"/>
      <c r="BR52" s="222"/>
      <c r="BS52" s="222"/>
      <c r="BT52" s="222"/>
      <c r="BU52" s="222"/>
      <c r="BV52" s="222"/>
      <c r="BW52" s="222"/>
      <c r="BX52" s="222"/>
      <c r="BY52" s="222"/>
      <c r="BZ52" s="222"/>
      <c r="CA52" s="222"/>
      <c r="CB52" s="222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2"/>
      <c r="CR52" s="222"/>
      <c r="CS52" s="222"/>
      <c r="CT52" s="222"/>
      <c r="CU52" s="222"/>
      <c r="CV52" s="222"/>
      <c r="CW52" s="222"/>
      <c r="CX52" s="222"/>
      <c r="CY52" s="222"/>
      <c r="CZ52" s="222"/>
      <c r="DA52" s="222"/>
      <c r="DB52" s="222"/>
      <c r="DC52" s="222"/>
      <c r="DD52" s="222"/>
      <c r="DE52" s="222"/>
      <c r="DF52" s="222"/>
      <c r="DG52" s="222"/>
      <c r="DH52" s="222"/>
      <c r="DI52" s="222"/>
      <c r="DJ52" s="222"/>
      <c r="DK52" s="222"/>
      <c r="DL52" s="222"/>
      <c r="DM52" s="222"/>
      <c r="DN52" s="222"/>
      <c r="DO52" s="222"/>
      <c r="DP52" s="222"/>
      <c r="DQ52" s="222"/>
      <c r="DR52" s="222"/>
      <c r="DS52" s="222"/>
      <c r="DT52" s="222"/>
      <c r="DU52" s="222"/>
      <c r="DV52" s="222"/>
      <c r="DW52" s="222"/>
      <c r="DX52" s="222"/>
      <c r="DY52" s="222"/>
      <c r="DZ52" s="222"/>
      <c r="EA52" s="222"/>
      <c r="EB52" s="222"/>
      <c r="EC52" s="222"/>
      <c r="ED52" s="222"/>
      <c r="EE52" s="222"/>
      <c r="EF52" s="222"/>
      <c r="EG52" s="222"/>
      <c r="EH52" s="222"/>
      <c r="EI52" s="222"/>
      <c r="EJ52" s="222"/>
      <c r="EK52" s="222"/>
      <c r="EL52" s="222"/>
      <c r="EM52" s="222"/>
      <c r="EN52" s="222"/>
      <c r="EO52" s="222"/>
      <c r="EP52" s="222"/>
      <c r="EQ52" s="222"/>
      <c r="ER52" s="222"/>
      <c r="ES52" s="222"/>
      <c r="ET52" s="222"/>
      <c r="EU52" s="222"/>
      <c r="EV52" s="222"/>
      <c r="EW52" s="222"/>
      <c r="EX52" s="222"/>
      <c r="EY52" s="222"/>
      <c r="EZ52" s="222"/>
      <c r="FA52" s="222"/>
      <c r="FB52" s="222"/>
      <c r="FC52" s="222"/>
      <c r="FD52" s="222"/>
      <c r="FE52" s="222"/>
      <c r="FF52" s="222"/>
      <c r="FG52" s="222"/>
      <c r="FH52" s="222"/>
      <c r="FI52" s="222"/>
      <c r="FJ52" s="222"/>
      <c r="FK52" s="222"/>
      <c r="FL52" s="222"/>
      <c r="FM52" s="222"/>
      <c r="FN52" s="222"/>
      <c r="FO52" s="222"/>
      <c r="FP52" s="222"/>
      <c r="FQ52" s="222"/>
      <c r="FR52" s="222"/>
      <c r="FS52" s="222"/>
      <c r="FT52" s="222"/>
      <c r="FU52" s="222"/>
      <c r="FV52" s="222"/>
      <c r="FW52" s="222"/>
      <c r="FX52" s="222"/>
      <c r="FY52" s="222"/>
      <c r="FZ52" s="222"/>
      <c r="GA52" s="222"/>
      <c r="GB52" s="222"/>
      <c r="GC52" s="222"/>
      <c r="GD52" s="222"/>
      <c r="GE52" s="222"/>
      <c r="GF52" s="222"/>
      <c r="GG52" s="222"/>
      <c r="GH52" s="222"/>
      <c r="GI52" s="222"/>
      <c r="GJ52" s="222"/>
      <c r="GK52" s="222"/>
      <c r="GL52" s="222"/>
      <c r="GM52" s="222"/>
      <c r="GN52" s="222"/>
      <c r="GO52" s="222"/>
      <c r="GP52" s="222"/>
      <c r="GQ52" s="222"/>
      <c r="GR52" s="222"/>
      <c r="GS52" s="222"/>
      <c r="GT52" s="222"/>
      <c r="GU52" s="222"/>
      <c r="GV52" s="222"/>
      <c r="GW52" s="222"/>
      <c r="GX52" s="222"/>
      <c r="GY52" s="222"/>
      <c r="GZ52" s="222"/>
      <c r="HA52" s="222"/>
      <c r="HB52" s="222"/>
      <c r="HC52" s="222"/>
      <c r="HD52" s="222"/>
      <c r="HE52" s="222"/>
      <c r="HF52" s="222"/>
      <c r="HG52" s="222"/>
      <c r="HH52" s="222"/>
      <c r="HI52" s="222"/>
      <c r="HJ52" s="222"/>
      <c r="HK52" s="222"/>
      <c r="HL52" s="222"/>
      <c r="HM52" s="222"/>
      <c r="HN52" s="222"/>
      <c r="HO52" s="222"/>
      <c r="HP52" s="222"/>
      <c r="HQ52" s="222"/>
      <c r="HR52" s="222"/>
      <c r="HS52" s="222"/>
      <c r="HT52" s="222"/>
      <c r="HU52" s="222"/>
      <c r="HV52" s="222"/>
      <c r="HW52" s="222"/>
      <c r="HX52" s="222"/>
      <c r="HY52" s="222"/>
      <c r="HZ52" s="222"/>
      <c r="IA52" s="222"/>
      <c r="IB52" s="222"/>
      <c r="IC52" s="222"/>
      <c r="ID52" s="222"/>
      <c r="IE52" s="222"/>
      <c r="IF52" s="222"/>
      <c r="IG52" s="222"/>
      <c r="IH52" s="222"/>
      <c r="II52" s="222"/>
      <c r="IJ52" s="222"/>
      <c r="IK52" s="222"/>
      <c r="IL52" s="222"/>
      <c r="IM52" s="222"/>
      <c r="IN52" s="222"/>
      <c r="IO52" s="222"/>
      <c r="IP52" s="222"/>
      <c r="IQ52" s="222"/>
      <c r="IR52" s="222"/>
      <c r="IS52" s="222"/>
    </row>
    <row r="53" spans="1:253" s="144" customFormat="1" ht="118.5" customHeight="1">
      <c r="A53" s="903"/>
      <c r="B53" s="904"/>
      <c r="C53" s="905"/>
      <c r="D53" s="880"/>
      <c r="E53" s="881"/>
      <c r="F53" s="217" t="s">
        <v>305</v>
      </c>
      <c r="G53" s="566"/>
      <c r="H53" s="882"/>
      <c r="I53" s="554" t="s">
        <v>807</v>
      </c>
      <c r="J53" s="883"/>
      <c r="K53" s="884"/>
      <c r="L53" s="885"/>
      <c r="M53" s="908"/>
      <c r="N53" s="911"/>
      <c r="O53" s="878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  <c r="AY53" s="222"/>
      <c r="AZ53" s="222"/>
      <c r="BA53" s="222"/>
      <c r="BB53" s="222"/>
      <c r="BC53" s="222"/>
      <c r="BD53" s="222"/>
      <c r="BE53" s="222"/>
      <c r="BF53" s="222"/>
      <c r="BG53" s="222"/>
      <c r="BH53" s="222"/>
      <c r="BI53" s="222"/>
      <c r="BJ53" s="222"/>
      <c r="BK53" s="222"/>
      <c r="BL53" s="222"/>
      <c r="BM53" s="222"/>
      <c r="BN53" s="222"/>
      <c r="BO53" s="222"/>
      <c r="BP53" s="222"/>
      <c r="BQ53" s="222"/>
      <c r="BR53" s="222"/>
      <c r="BS53" s="222"/>
      <c r="BT53" s="222"/>
      <c r="BU53" s="222"/>
      <c r="BV53" s="222"/>
      <c r="BW53" s="222"/>
      <c r="BX53" s="222"/>
      <c r="BY53" s="222"/>
      <c r="BZ53" s="222"/>
      <c r="CA53" s="222"/>
      <c r="CB53" s="222"/>
      <c r="CC53" s="222"/>
      <c r="CD53" s="222"/>
      <c r="CE53" s="222"/>
      <c r="CF53" s="222"/>
      <c r="CG53" s="222"/>
      <c r="CH53" s="222"/>
      <c r="CI53" s="222"/>
      <c r="CJ53" s="222"/>
      <c r="CK53" s="222"/>
      <c r="CL53" s="222"/>
      <c r="CM53" s="222"/>
      <c r="CN53" s="222"/>
      <c r="CO53" s="222"/>
      <c r="CP53" s="222"/>
      <c r="CQ53" s="222"/>
      <c r="CR53" s="222"/>
      <c r="CS53" s="222"/>
      <c r="CT53" s="222"/>
      <c r="CU53" s="222"/>
      <c r="CV53" s="222"/>
      <c r="CW53" s="222"/>
      <c r="CX53" s="222"/>
      <c r="CY53" s="222"/>
      <c r="CZ53" s="222"/>
      <c r="DA53" s="222"/>
      <c r="DB53" s="222"/>
      <c r="DC53" s="222"/>
      <c r="DD53" s="222"/>
      <c r="DE53" s="222"/>
      <c r="DF53" s="222"/>
      <c r="DG53" s="222"/>
      <c r="DH53" s="222"/>
      <c r="DI53" s="222"/>
      <c r="DJ53" s="222"/>
      <c r="DK53" s="222"/>
      <c r="DL53" s="222"/>
      <c r="DM53" s="222"/>
      <c r="DN53" s="222"/>
      <c r="DO53" s="222"/>
      <c r="DP53" s="222"/>
      <c r="DQ53" s="222"/>
      <c r="DR53" s="222"/>
      <c r="DS53" s="222"/>
      <c r="DT53" s="222"/>
      <c r="DU53" s="222"/>
      <c r="DV53" s="222"/>
      <c r="DW53" s="222"/>
      <c r="DX53" s="222"/>
      <c r="DY53" s="222"/>
      <c r="DZ53" s="222"/>
      <c r="EA53" s="222"/>
      <c r="EB53" s="222"/>
      <c r="EC53" s="222"/>
      <c r="ED53" s="222"/>
      <c r="EE53" s="222"/>
      <c r="EF53" s="222"/>
      <c r="EG53" s="222"/>
      <c r="EH53" s="222"/>
      <c r="EI53" s="222"/>
      <c r="EJ53" s="222"/>
      <c r="EK53" s="222"/>
      <c r="EL53" s="222"/>
      <c r="EM53" s="222"/>
      <c r="EN53" s="222"/>
      <c r="EO53" s="222"/>
      <c r="EP53" s="222"/>
      <c r="EQ53" s="222"/>
      <c r="ER53" s="222"/>
      <c r="ES53" s="222"/>
      <c r="ET53" s="222"/>
      <c r="EU53" s="222"/>
      <c r="EV53" s="222"/>
      <c r="EW53" s="222"/>
      <c r="EX53" s="222"/>
      <c r="EY53" s="222"/>
      <c r="EZ53" s="222"/>
      <c r="FA53" s="222"/>
      <c r="FB53" s="222"/>
      <c r="FC53" s="222"/>
      <c r="FD53" s="222"/>
      <c r="FE53" s="222"/>
      <c r="FF53" s="222"/>
      <c r="FG53" s="222"/>
      <c r="FH53" s="222"/>
      <c r="FI53" s="222"/>
      <c r="FJ53" s="222"/>
      <c r="FK53" s="222"/>
      <c r="FL53" s="222"/>
      <c r="FM53" s="222"/>
      <c r="FN53" s="222"/>
      <c r="FO53" s="222"/>
      <c r="FP53" s="222"/>
      <c r="FQ53" s="222"/>
      <c r="FR53" s="222"/>
      <c r="FS53" s="222"/>
      <c r="FT53" s="222"/>
      <c r="FU53" s="222"/>
      <c r="FV53" s="222"/>
      <c r="FW53" s="222"/>
      <c r="FX53" s="222"/>
      <c r="FY53" s="222"/>
      <c r="FZ53" s="222"/>
      <c r="GA53" s="222"/>
      <c r="GB53" s="222"/>
      <c r="GC53" s="222"/>
      <c r="GD53" s="222"/>
      <c r="GE53" s="222"/>
      <c r="GF53" s="222"/>
      <c r="GG53" s="222"/>
      <c r="GH53" s="222"/>
      <c r="GI53" s="222"/>
      <c r="GJ53" s="222"/>
      <c r="GK53" s="222"/>
      <c r="GL53" s="222"/>
      <c r="GM53" s="222"/>
      <c r="GN53" s="222"/>
      <c r="GO53" s="222"/>
      <c r="GP53" s="222"/>
      <c r="GQ53" s="222"/>
      <c r="GR53" s="222"/>
      <c r="GS53" s="222"/>
      <c r="GT53" s="222"/>
      <c r="GU53" s="222"/>
      <c r="GV53" s="222"/>
      <c r="GW53" s="222"/>
      <c r="GX53" s="222"/>
      <c r="GY53" s="222"/>
      <c r="GZ53" s="222"/>
      <c r="HA53" s="222"/>
      <c r="HB53" s="222"/>
      <c r="HC53" s="222"/>
      <c r="HD53" s="222"/>
      <c r="HE53" s="222"/>
      <c r="HF53" s="222"/>
      <c r="HG53" s="222"/>
      <c r="HH53" s="222"/>
      <c r="HI53" s="222"/>
      <c r="HJ53" s="222"/>
      <c r="HK53" s="222"/>
      <c r="HL53" s="222"/>
      <c r="HM53" s="222"/>
      <c r="HN53" s="222"/>
      <c r="HO53" s="222"/>
      <c r="HP53" s="222"/>
      <c r="HQ53" s="222"/>
      <c r="HR53" s="222"/>
      <c r="HS53" s="222"/>
      <c r="HT53" s="222"/>
      <c r="HU53" s="222"/>
      <c r="HV53" s="222"/>
      <c r="HW53" s="222"/>
      <c r="HX53" s="222"/>
      <c r="HY53" s="222"/>
      <c r="HZ53" s="222"/>
      <c r="IA53" s="222"/>
      <c r="IB53" s="222"/>
      <c r="IC53" s="222"/>
      <c r="ID53" s="222"/>
      <c r="IE53" s="222"/>
      <c r="IF53" s="222"/>
      <c r="IG53" s="222"/>
      <c r="IH53" s="222"/>
      <c r="II53" s="222"/>
      <c r="IJ53" s="222"/>
      <c r="IK53" s="222"/>
      <c r="IL53" s="222"/>
      <c r="IM53" s="222"/>
      <c r="IN53" s="222"/>
      <c r="IO53" s="222"/>
      <c r="IP53" s="222"/>
      <c r="IQ53" s="222"/>
      <c r="IR53" s="222"/>
      <c r="IS53" s="222"/>
    </row>
    <row r="54" spans="1:253" customFormat="1" ht="118.5" customHeight="1">
      <c r="A54" s="903"/>
      <c r="B54" s="904"/>
      <c r="C54" s="905"/>
      <c r="D54" s="880"/>
      <c r="E54" s="881"/>
      <c r="F54" s="217" t="s">
        <v>241</v>
      </c>
      <c r="G54" s="566"/>
      <c r="H54" s="882"/>
      <c r="I54" s="219"/>
      <c r="J54" s="883"/>
      <c r="K54" s="884"/>
      <c r="L54" s="885"/>
      <c r="M54" s="908"/>
      <c r="N54" s="911"/>
      <c r="O54" s="878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22"/>
      <c r="BG54" s="222"/>
      <c r="BH54" s="222"/>
      <c r="BI54" s="222"/>
      <c r="BJ54" s="222"/>
      <c r="BK54" s="222"/>
      <c r="BL54" s="222"/>
      <c r="BM54" s="222"/>
      <c r="BN54" s="222"/>
      <c r="BO54" s="222"/>
      <c r="BP54" s="222"/>
      <c r="BQ54" s="222"/>
      <c r="BR54" s="222"/>
      <c r="BS54" s="222"/>
      <c r="BT54" s="222"/>
      <c r="BU54" s="222"/>
      <c r="BV54" s="222"/>
      <c r="BW54" s="222"/>
      <c r="BX54" s="222"/>
      <c r="BY54" s="222"/>
      <c r="BZ54" s="222"/>
      <c r="CA54" s="222"/>
      <c r="CB54" s="222"/>
      <c r="CC54" s="222"/>
      <c r="CD54" s="222"/>
      <c r="CE54" s="222"/>
      <c r="CF54" s="222"/>
      <c r="CG54" s="222"/>
      <c r="CH54" s="222"/>
      <c r="CI54" s="222"/>
      <c r="CJ54" s="222"/>
      <c r="CK54" s="222"/>
      <c r="CL54" s="222"/>
      <c r="CM54" s="222"/>
      <c r="CN54" s="222"/>
      <c r="CO54" s="222"/>
      <c r="CP54" s="222"/>
      <c r="CQ54" s="222"/>
      <c r="CR54" s="222"/>
      <c r="CS54" s="222"/>
      <c r="CT54" s="222"/>
      <c r="CU54" s="222"/>
      <c r="CV54" s="222"/>
      <c r="CW54" s="222"/>
      <c r="CX54" s="222"/>
      <c r="CY54" s="222"/>
      <c r="CZ54" s="222"/>
      <c r="DA54" s="222"/>
      <c r="DB54" s="222"/>
      <c r="DC54" s="222"/>
      <c r="DD54" s="222"/>
      <c r="DE54" s="222"/>
      <c r="DF54" s="222"/>
      <c r="DG54" s="222"/>
      <c r="DH54" s="222"/>
      <c r="DI54" s="222"/>
      <c r="DJ54" s="222"/>
      <c r="DK54" s="222"/>
      <c r="DL54" s="222"/>
      <c r="DM54" s="222"/>
      <c r="DN54" s="222"/>
      <c r="DO54" s="222"/>
      <c r="DP54" s="222"/>
      <c r="DQ54" s="222"/>
      <c r="DR54" s="222"/>
      <c r="DS54" s="222"/>
      <c r="DT54" s="222"/>
      <c r="DU54" s="222"/>
      <c r="DV54" s="222"/>
      <c r="DW54" s="222"/>
      <c r="DX54" s="222"/>
      <c r="DY54" s="222"/>
      <c r="DZ54" s="222"/>
      <c r="EA54" s="222"/>
      <c r="EB54" s="222"/>
      <c r="EC54" s="222"/>
      <c r="ED54" s="222"/>
      <c r="EE54" s="222"/>
      <c r="EF54" s="222"/>
      <c r="EG54" s="222"/>
      <c r="EH54" s="222"/>
      <c r="EI54" s="222"/>
      <c r="EJ54" s="222"/>
      <c r="EK54" s="222"/>
      <c r="EL54" s="222"/>
      <c r="EM54" s="222"/>
      <c r="EN54" s="222"/>
      <c r="EO54" s="222"/>
      <c r="EP54" s="222"/>
      <c r="EQ54" s="222"/>
      <c r="ER54" s="222"/>
      <c r="ES54" s="222"/>
      <c r="ET54" s="222"/>
      <c r="EU54" s="222"/>
      <c r="EV54" s="222"/>
      <c r="EW54" s="222"/>
      <c r="EX54" s="222"/>
      <c r="EY54" s="222"/>
      <c r="EZ54" s="222"/>
      <c r="FA54" s="222"/>
      <c r="FB54" s="222"/>
      <c r="FC54" s="222"/>
      <c r="FD54" s="222"/>
      <c r="FE54" s="222"/>
      <c r="FF54" s="222"/>
      <c r="FG54" s="222"/>
      <c r="FH54" s="222"/>
      <c r="FI54" s="222"/>
      <c r="FJ54" s="222"/>
      <c r="FK54" s="222"/>
      <c r="FL54" s="222"/>
      <c r="FM54" s="222"/>
      <c r="FN54" s="222"/>
      <c r="FO54" s="222"/>
      <c r="FP54" s="222"/>
      <c r="FQ54" s="222"/>
      <c r="FR54" s="222"/>
      <c r="FS54" s="222"/>
      <c r="FT54" s="222"/>
      <c r="FU54" s="222"/>
      <c r="FV54" s="222"/>
      <c r="FW54" s="222"/>
      <c r="FX54" s="222"/>
      <c r="FY54" s="222"/>
      <c r="FZ54" s="222"/>
      <c r="GA54" s="222"/>
      <c r="GB54" s="222"/>
      <c r="GC54" s="222"/>
      <c r="GD54" s="222"/>
      <c r="GE54" s="222"/>
      <c r="GF54" s="222"/>
      <c r="GG54" s="222"/>
      <c r="GH54" s="222"/>
      <c r="GI54" s="222"/>
      <c r="GJ54" s="222"/>
      <c r="GK54" s="222"/>
      <c r="GL54" s="222"/>
      <c r="GM54" s="222"/>
      <c r="GN54" s="222"/>
      <c r="GO54" s="222"/>
      <c r="GP54" s="222"/>
      <c r="GQ54" s="222"/>
      <c r="GR54" s="222"/>
      <c r="GS54" s="222"/>
      <c r="GT54" s="222"/>
      <c r="GU54" s="222"/>
      <c r="GV54" s="222"/>
      <c r="GW54" s="222"/>
      <c r="GX54" s="222"/>
      <c r="GY54" s="222"/>
      <c r="GZ54" s="222"/>
      <c r="HA54" s="222"/>
      <c r="HB54" s="222"/>
      <c r="HC54" s="222"/>
      <c r="HD54" s="222"/>
      <c r="HE54" s="222"/>
      <c r="HF54" s="222"/>
      <c r="HG54" s="222"/>
      <c r="HH54" s="222"/>
      <c r="HI54" s="222"/>
      <c r="HJ54" s="222"/>
      <c r="HK54" s="222"/>
      <c r="HL54" s="222"/>
      <c r="HM54" s="222"/>
      <c r="HN54" s="222"/>
      <c r="HO54" s="222"/>
      <c r="HP54" s="222"/>
      <c r="HQ54" s="222"/>
      <c r="HR54" s="222"/>
      <c r="HS54" s="222"/>
      <c r="HT54" s="222"/>
      <c r="HU54" s="222"/>
      <c r="HV54" s="222"/>
      <c r="HW54" s="222"/>
      <c r="HX54" s="222"/>
      <c r="HY54" s="222"/>
      <c r="HZ54" s="222"/>
      <c r="IA54" s="222"/>
      <c r="IB54" s="222"/>
      <c r="IC54" s="222"/>
      <c r="ID54" s="222"/>
      <c r="IE54" s="222"/>
      <c r="IF54" s="222"/>
      <c r="IG54" s="222"/>
      <c r="IH54" s="222"/>
      <c r="II54" s="222"/>
      <c r="IJ54" s="222"/>
      <c r="IK54" s="222"/>
      <c r="IL54" s="222"/>
      <c r="IM54" s="222"/>
      <c r="IN54" s="222"/>
      <c r="IO54" s="222"/>
      <c r="IP54" s="222"/>
      <c r="IQ54" s="222"/>
      <c r="IR54" s="222"/>
      <c r="IS54" s="222"/>
    </row>
    <row r="55" spans="1:253" s="144" customFormat="1" ht="118.5" customHeight="1">
      <c r="A55" s="903"/>
      <c r="B55" s="904"/>
      <c r="C55" s="905"/>
      <c r="D55" s="221">
        <v>11</v>
      </c>
      <c r="E55" s="567" t="s">
        <v>310</v>
      </c>
      <c r="F55" s="557"/>
      <c r="G55" s="568"/>
      <c r="H55" s="569" t="s">
        <v>311</v>
      </c>
      <c r="I55" s="221" t="s">
        <v>308</v>
      </c>
      <c r="J55" s="570">
        <v>1</v>
      </c>
      <c r="K55" s="558" t="s">
        <v>309</v>
      </c>
      <c r="L55" s="571"/>
      <c r="M55" s="909"/>
      <c r="N55" s="912"/>
      <c r="O55" s="879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222"/>
      <c r="BH55" s="222"/>
      <c r="BI55" s="222"/>
      <c r="BJ55" s="222"/>
      <c r="BK55" s="222"/>
      <c r="BL55" s="222"/>
      <c r="BM55" s="222"/>
      <c r="BN55" s="222"/>
      <c r="BO55" s="222"/>
      <c r="BP55" s="222"/>
      <c r="BQ55" s="222"/>
      <c r="BR55" s="222"/>
      <c r="BS55" s="222"/>
      <c r="BT55" s="222"/>
      <c r="BU55" s="222"/>
      <c r="BV55" s="222"/>
      <c r="BW55" s="222"/>
      <c r="BX55" s="222"/>
      <c r="BY55" s="222"/>
      <c r="BZ55" s="222"/>
      <c r="CA55" s="222"/>
      <c r="CB55" s="222"/>
      <c r="CC55" s="222"/>
      <c r="CD55" s="222"/>
      <c r="CE55" s="222"/>
      <c r="CF55" s="222"/>
      <c r="CG55" s="222"/>
      <c r="CH55" s="222"/>
      <c r="CI55" s="222"/>
      <c r="CJ55" s="222"/>
      <c r="CK55" s="222"/>
      <c r="CL55" s="222"/>
      <c r="CM55" s="222"/>
      <c r="CN55" s="222"/>
      <c r="CO55" s="222"/>
      <c r="CP55" s="222"/>
      <c r="CQ55" s="222"/>
      <c r="CR55" s="222"/>
      <c r="CS55" s="222"/>
      <c r="CT55" s="222"/>
      <c r="CU55" s="222"/>
      <c r="CV55" s="222"/>
      <c r="CW55" s="222"/>
      <c r="CX55" s="222"/>
      <c r="CY55" s="222"/>
      <c r="CZ55" s="222"/>
      <c r="DA55" s="222"/>
      <c r="DB55" s="222"/>
      <c r="DC55" s="222"/>
      <c r="DD55" s="222"/>
      <c r="DE55" s="222"/>
      <c r="DF55" s="222"/>
      <c r="DG55" s="222"/>
      <c r="DH55" s="222"/>
      <c r="DI55" s="222"/>
      <c r="DJ55" s="222"/>
      <c r="DK55" s="222"/>
      <c r="DL55" s="222"/>
      <c r="DM55" s="222"/>
      <c r="DN55" s="222"/>
      <c r="DO55" s="222"/>
      <c r="DP55" s="222"/>
      <c r="DQ55" s="222"/>
      <c r="DR55" s="222"/>
      <c r="DS55" s="222"/>
      <c r="DT55" s="222"/>
      <c r="DU55" s="222"/>
      <c r="DV55" s="222"/>
      <c r="DW55" s="222"/>
      <c r="DX55" s="222"/>
      <c r="DY55" s="222"/>
      <c r="DZ55" s="222"/>
      <c r="EA55" s="222"/>
      <c r="EB55" s="222"/>
      <c r="EC55" s="222"/>
      <c r="ED55" s="222"/>
      <c r="EE55" s="222"/>
      <c r="EF55" s="222"/>
      <c r="EG55" s="222"/>
      <c r="EH55" s="222"/>
      <c r="EI55" s="222"/>
      <c r="EJ55" s="222"/>
      <c r="EK55" s="222"/>
      <c r="EL55" s="222"/>
      <c r="EM55" s="222"/>
      <c r="EN55" s="222"/>
      <c r="EO55" s="222"/>
      <c r="EP55" s="222"/>
      <c r="EQ55" s="222"/>
      <c r="ER55" s="222"/>
      <c r="ES55" s="222"/>
      <c r="ET55" s="222"/>
      <c r="EU55" s="222"/>
      <c r="EV55" s="222"/>
      <c r="EW55" s="222"/>
      <c r="EX55" s="222"/>
      <c r="EY55" s="222"/>
      <c r="EZ55" s="222"/>
      <c r="FA55" s="222"/>
      <c r="FB55" s="222"/>
      <c r="FC55" s="222"/>
      <c r="FD55" s="222"/>
      <c r="FE55" s="222"/>
      <c r="FF55" s="222"/>
      <c r="FG55" s="222"/>
      <c r="FH55" s="222"/>
      <c r="FI55" s="222"/>
      <c r="FJ55" s="222"/>
      <c r="FK55" s="222"/>
      <c r="FL55" s="222"/>
      <c r="FM55" s="222"/>
      <c r="FN55" s="222"/>
      <c r="FO55" s="222"/>
      <c r="FP55" s="222"/>
      <c r="FQ55" s="222"/>
      <c r="FR55" s="222"/>
      <c r="FS55" s="222"/>
      <c r="FT55" s="222"/>
      <c r="FU55" s="222"/>
      <c r="FV55" s="222"/>
      <c r="FW55" s="222"/>
      <c r="FX55" s="222"/>
      <c r="FY55" s="222"/>
      <c r="FZ55" s="222"/>
      <c r="GA55" s="222"/>
      <c r="GB55" s="222"/>
      <c r="GC55" s="222"/>
      <c r="GD55" s="222"/>
      <c r="GE55" s="222"/>
      <c r="GF55" s="222"/>
      <c r="GG55" s="222"/>
      <c r="GH55" s="222"/>
      <c r="GI55" s="222"/>
      <c r="GJ55" s="222"/>
      <c r="GK55" s="222"/>
      <c r="GL55" s="222"/>
      <c r="GM55" s="222"/>
      <c r="GN55" s="222"/>
      <c r="GO55" s="222"/>
      <c r="GP55" s="222"/>
      <c r="GQ55" s="222"/>
      <c r="GR55" s="222"/>
      <c r="GS55" s="222"/>
      <c r="GT55" s="222"/>
      <c r="GU55" s="222"/>
      <c r="GV55" s="222"/>
      <c r="GW55" s="222"/>
      <c r="GX55" s="222"/>
      <c r="GY55" s="222"/>
      <c r="GZ55" s="222"/>
      <c r="HA55" s="222"/>
      <c r="HB55" s="222"/>
      <c r="HC55" s="222"/>
      <c r="HD55" s="222"/>
      <c r="HE55" s="222"/>
      <c r="HF55" s="222"/>
      <c r="HG55" s="222"/>
      <c r="HH55" s="222"/>
      <c r="HI55" s="222"/>
      <c r="HJ55" s="222"/>
      <c r="HK55" s="222"/>
      <c r="HL55" s="222"/>
      <c r="HM55" s="222"/>
      <c r="HN55" s="222"/>
      <c r="HO55" s="222"/>
      <c r="HP55" s="222"/>
      <c r="HQ55" s="222"/>
      <c r="HR55" s="222"/>
      <c r="HS55" s="222"/>
      <c r="HT55" s="222"/>
      <c r="HU55" s="222"/>
      <c r="HV55" s="222"/>
      <c r="HW55" s="222"/>
      <c r="HX55" s="222"/>
      <c r="HY55" s="222"/>
      <c r="HZ55" s="222"/>
      <c r="IA55" s="222"/>
      <c r="IB55" s="222"/>
      <c r="IC55" s="222"/>
      <c r="ID55" s="222"/>
      <c r="IE55" s="222"/>
      <c r="IF55" s="222"/>
      <c r="IG55" s="222"/>
      <c r="IH55" s="222"/>
      <c r="II55" s="222"/>
      <c r="IJ55" s="222"/>
      <c r="IK55" s="222"/>
      <c r="IL55" s="222"/>
      <c r="IM55" s="222"/>
      <c r="IN55" s="222"/>
      <c r="IO55" s="222"/>
      <c r="IP55" s="222"/>
      <c r="IQ55" s="222"/>
      <c r="IR55" s="222"/>
      <c r="IS55" s="222"/>
    </row>
    <row r="56" spans="1:253" ht="90" customHeight="1">
      <c r="A56" s="913" t="s">
        <v>242</v>
      </c>
      <c r="B56" s="915" t="s">
        <v>808</v>
      </c>
      <c r="C56" s="917" t="s">
        <v>586</v>
      </c>
      <c r="D56" s="572">
        <v>1</v>
      </c>
      <c r="E56" s="573" t="s">
        <v>575</v>
      </c>
      <c r="F56" s="572"/>
      <c r="G56" s="572"/>
      <c r="H56" s="574" t="s">
        <v>576</v>
      </c>
      <c r="I56" s="575" t="s">
        <v>809</v>
      </c>
      <c r="J56" s="919">
        <v>2</v>
      </c>
      <c r="K56" s="921" t="s">
        <v>574</v>
      </c>
      <c r="L56" s="886" t="s">
        <v>240</v>
      </c>
      <c r="M56" s="888" t="s">
        <v>577</v>
      </c>
      <c r="N56" s="890" t="s">
        <v>237</v>
      </c>
      <c r="O56" s="892" t="s">
        <v>578</v>
      </c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</row>
    <row r="57" spans="1:253" ht="90" customHeight="1">
      <c r="A57" s="914"/>
      <c r="B57" s="916"/>
      <c r="C57" s="918"/>
      <c r="D57" s="576">
        <v>2</v>
      </c>
      <c r="E57" s="577" t="s">
        <v>579</v>
      </c>
      <c r="F57" s="576"/>
      <c r="G57" s="576"/>
      <c r="H57" s="578" t="s">
        <v>810</v>
      </c>
      <c r="I57" s="579" t="s">
        <v>811</v>
      </c>
      <c r="J57" s="920"/>
      <c r="K57" s="922"/>
      <c r="L57" s="887"/>
      <c r="M57" s="889"/>
      <c r="N57" s="891"/>
      <c r="O57" s="893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</row>
    <row r="58" spans="1:253" ht="75" customHeight="1">
      <c r="A58" s="924" t="s">
        <v>257</v>
      </c>
      <c r="B58" s="904" t="s">
        <v>812</v>
      </c>
      <c r="C58" s="904" t="s">
        <v>580</v>
      </c>
      <c r="D58" s="153">
        <v>1</v>
      </c>
      <c r="E58" s="242" t="s">
        <v>581</v>
      </c>
      <c r="F58" s="545"/>
      <c r="G58" s="163"/>
      <c r="H58" s="580" t="s">
        <v>582</v>
      </c>
      <c r="I58" s="369" t="s">
        <v>583</v>
      </c>
      <c r="J58" s="925">
        <v>1</v>
      </c>
      <c r="K58" s="906" t="s">
        <v>312</v>
      </c>
      <c r="L58" s="927" t="s">
        <v>313</v>
      </c>
      <c r="M58" s="906" t="s">
        <v>584</v>
      </c>
      <c r="N58" s="930" t="s">
        <v>314</v>
      </c>
      <c r="O58" s="931" t="s">
        <v>315</v>
      </c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</row>
    <row r="59" spans="1:253" ht="75" customHeight="1">
      <c r="A59" s="924"/>
      <c r="B59" s="904"/>
      <c r="C59" s="904"/>
      <c r="D59" s="162">
        <v>2</v>
      </c>
      <c r="E59" s="552" t="s">
        <v>316</v>
      </c>
      <c r="F59" s="546"/>
      <c r="G59" s="164"/>
      <c r="H59" s="370" t="s">
        <v>585</v>
      </c>
      <c r="I59" s="885" t="s">
        <v>317</v>
      </c>
      <c r="J59" s="884"/>
      <c r="K59" s="885"/>
      <c r="L59" s="928"/>
      <c r="M59" s="885"/>
      <c r="N59" s="930"/>
      <c r="O59" s="932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</row>
    <row r="60" spans="1:253" ht="75" customHeight="1">
      <c r="A60" s="924"/>
      <c r="B60" s="904"/>
      <c r="C60" s="904"/>
      <c r="D60" s="228">
        <v>3</v>
      </c>
      <c r="E60" s="161" t="s">
        <v>318</v>
      </c>
      <c r="F60" s="547"/>
      <c r="G60" s="164"/>
      <c r="H60" s="581" t="s">
        <v>319</v>
      </c>
      <c r="I60" s="923"/>
      <c r="J60" s="926"/>
      <c r="K60" s="923"/>
      <c r="L60" s="929"/>
      <c r="M60" s="923"/>
      <c r="N60" s="930"/>
      <c r="O60" s="933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</row>
    <row r="61" spans="1:253" s="158" customFormat="1" ht="289.5" customHeight="1">
      <c r="A61" s="589" t="s">
        <v>259</v>
      </c>
      <c r="B61" s="223" t="s">
        <v>169</v>
      </c>
      <c r="C61" s="223" t="s">
        <v>243</v>
      </c>
      <c r="D61" s="224"/>
      <c r="E61" s="842" t="s">
        <v>244</v>
      </c>
      <c r="F61" s="843"/>
      <c r="G61" s="843"/>
      <c r="H61" s="844"/>
      <c r="I61" s="223" t="s">
        <v>245</v>
      </c>
      <c r="J61" s="225">
        <v>1</v>
      </c>
      <c r="K61" s="224" t="s">
        <v>246</v>
      </c>
      <c r="L61" s="223" t="s">
        <v>247</v>
      </c>
      <c r="M61" s="226" t="s">
        <v>55</v>
      </c>
      <c r="N61" s="223" t="s">
        <v>237</v>
      </c>
      <c r="O61" s="231" t="s">
        <v>248</v>
      </c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7"/>
      <c r="BK61" s="157"/>
      <c r="BL61" s="157"/>
      <c r="BM61" s="157"/>
      <c r="BN61" s="157"/>
      <c r="BO61" s="157"/>
      <c r="BP61" s="157"/>
      <c r="BQ61" s="157"/>
      <c r="BR61" s="157"/>
      <c r="BS61" s="157"/>
      <c r="BT61" s="157"/>
    </row>
    <row r="62" spans="1:253" s="158" customFormat="1" ht="108" customHeight="1">
      <c r="A62" s="232" t="s">
        <v>849</v>
      </c>
      <c r="B62" s="155" t="s">
        <v>81</v>
      </c>
      <c r="C62" s="155" t="s">
        <v>243</v>
      </c>
      <c r="D62" s="156"/>
      <c r="E62" s="842" t="s">
        <v>249</v>
      </c>
      <c r="F62" s="843"/>
      <c r="G62" s="843"/>
      <c r="H62" s="845"/>
      <c r="I62" s="155" t="s">
        <v>245</v>
      </c>
      <c r="J62" s="159">
        <v>1</v>
      </c>
      <c r="K62" s="156" t="s">
        <v>246</v>
      </c>
      <c r="L62" s="155" t="s">
        <v>250</v>
      </c>
      <c r="M62" s="227" t="s">
        <v>55</v>
      </c>
      <c r="N62" s="155" t="s">
        <v>237</v>
      </c>
      <c r="O62" s="233" t="s">
        <v>251</v>
      </c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  <c r="BM62" s="157"/>
      <c r="BN62" s="157"/>
      <c r="BO62" s="157"/>
      <c r="BP62" s="157"/>
      <c r="BQ62" s="157"/>
      <c r="BR62" s="157"/>
      <c r="BS62" s="157"/>
      <c r="BT62" s="157"/>
    </row>
    <row r="63" spans="1:253" s="158" customFormat="1" ht="244.5" customHeight="1" thickBot="1">
      <c r="A63" s="234" t="s">
        <v>850</v>
      </c>
      <c r="B63" s="235" t="s">
        <v>322</v>
      </c>
      <c r="C63" s="235" t="s">
        <v>243</v>
      </c>
      <c r="D63" s="236">
        <v>1</v>
      </c>
      <c r="E63" s="846" t="s">
        <v>323</v>
      </c>
      <c r="F63" s="847"/>
      <c r="G63" s="847"/>
      <c r="H63" s="848"/>
      <c r="I63" s="237" t="s">
        <v>245</v>
      </c>
      <c r="J63" s="238">
        <v>1</v>
      </c>
      <c r="K63" s="236" t="s">
        <v>309</v>
      </c>
      <c r="L63" s="235" t="s">
        <v>240</v>
      </c>
      <c r="M63" s="239" t="s">
        <v>55</v>
      </c>
      <c r="N63" s="235" t="s">
        <v>324</v>
      </c>
      <c r="O63" s="240" t="s">
        <v>325</v>
      </c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7"/>
      <c r="BJ63" s="157"/>
      <c r="BK63" s="157"/>
      <c r="BL63" s="157"/>
      <c r="BM63" s="157"/>
      <c r="BN63" s="157"/>
      <c r="BO63" s="157"/>
      <c r="BP63" s="157"/>
      <c r="BQ63" s="157"/>
      <c r="BR63" s="157"/>
      <c r="BS63" s="157"/>
      <c r="BT63" s="157"/>
    </row>
  </sheetData>
  <mergeCells count="72">
    <mergeCell ref="A58:A60"/>
    <mergeCell ref="B58:B60"/>
    <mergeCell ref="C58:C60"/>
    <mergeCell ref="J58:J60"/>
    <mergeCell ref="K58:K60"/>
    <mergeCell ref="L58:L60"/>
    <mergeCell ref="M58:M60"/>
    <mergeCell ref="N58:N60"/>
    <mergeCell ref="O58:O60"/>
    <mergeCell ref="I59:I60"/>
    <mergeCell ref="A56:A57"/>
    <mergeCell ref="B56:B57"/>
    <mergeCell ref="C56:C57"/>
    <mergeCell ref="J56:J57"/>
    <mergeCell ref="K56:K57"/>
    <mergeCell ref="L56:L57"/>
    <mergeCell ref="M56:M57"/>
    <mergeCell ref="N56:N57"/>
    <mergeCell ref="O56:O57"/>
    <mergeCell ref="A40:A42"/>
    <mergeCell ref="B40:B42"/>
    <mergeCell ref="C40:C42"/>
    <mergeCell ref="M40:M42"/>
    <mergeCell ref="N40:N42"/>
    <mergeCell ref="O40:O42"/>
    <mergeCell ref="A43:A55"/>
    <mergeCell ref="B43:B55"/>
    <mergeCell ref="C43:C55"/>
    <mergeCell ref="L43:L51"/>
    <mergeCell ref="M43:M55"/>
    <mergeCell ref="N43:N55"/>
    <mergeCell ref="E52:E54"/>
    <mergeCell ref="H52:H54"/>
    <mergeCell ref="J52:J54"/>
    <mergeCell ref="K52:K54"/>
    <mergeCell ref="L52:L54"/>
    <mergeCell ref="E61:H61"/>
    <mergeCell ref="E62:H62"/>
    <mergeCell ref="E63:H63"/>
    <mergeCell ref="K9:O9"/>
    <mergeCell ref="A10:O36"/>
    <mergeCell ref="D37:F37"/>
    <mergeCell ref="H37:H39"/>
    <mergeCell ref="I37:L37"/>
    <mergeCell ref="M37:M39"/>
    <mergeCell ref="N37:N39"/>
    <mergeCell ref="O37:O39"/>
    <mergeCell ref="D38:D39"/>
    <mergeCell ref="E38:E39"/>
    <mergeCell ref="F38:F39"/>
    <mergeCell ref="O43:O55"/>
    <mergeCell ref="D52:D54"/>
    <mergeCell ref="A6:G6"/>
    <mergeCell ref="H6:J6"/>
    <mergeCell ref="A7:G7"/>
    <mergeCell ref="H7:J7"/>
    <mergeCell ref="M7:O7"/>
    <mergeCell ref="A8:D8"/>
    <mergeCell ref="E8:G8"/>
    <mergeCell ref="H8:J8"/>
    <mergeCell ref="A9:D9"/>
    <mergeCell ref="E9:G9"/>
    <mergeCell ref="H9:J9"/>
    <mergeCell ref="A1:L3"/>
    <mergeCell ref="M1:O1"/>
    <mergeCell ref="M2:O2"/>
    <mergeCell ref="M3:O3"/>
    <mergeCell ref="F4:G4"/>
    <mergeCell ref="H4:J5"/>
    <mergeCell ref="K4:L4"/>
    <mergeCell ref="N4:O4"/>
    <mergeCell ref="A5:G5"/>
  </mergeCells>
  <printOptions horizontalCentered="1"/>
  <pageMargins left="3.9370078740157501E-2" right="3.9370078740157501E-2" top="3.9370078740157501E-2" bottom="3.9370078740157501E-2" header="0.511811023622047" footer="0.39370078740157499"/>
  <pageSetup paperSize="9" scale="13" orientation="portrait" r:id="rId1"/>
  <headerFooter alignWithMargins="0">
    <oddFooter>&amp;L&amp;26Prepared By :&amp;C&amp;26&amp;P of &amp;N&amp;R&amp;26Approved By :</oddFooter>
  </headerFooter>
  <drawing r:id="rId2"/>
  <legacyDrawing r:id="rId3"/>
  <oleObjects>
    <oleObject progId="AutoCAD.Drawing.14" shapeId="3073" r:id="rId4"/>
    <oleObject progId="AutoCAD.Drawing.14" shapeId="3074" r:id="rId5"/>
    <oleObject progId="AutoCAD.Drawing.14" shapeId="3075" r:id="rId6"/>
    <oleObject progId="AutoCAD.Drawing.14" shapeId="3076" r:id="rId7"/>
    <oleObject progId="AutoCAD.Drawing.14" shapeId="3077" r:id="rId8"/>
    <oleObject progId="AutoCAD.Drawing.14" shapeId="3080" r:id="rId9"/>
    <oleObject progId="AutoCAD.Drawing.14" shapeId="3081" r:id="rId10"/>
    <oleObject progId="AutoCAD.Drawing.14" shapeId="3085" r:id="rId11"/>
    <oleObject progId="AutoCAD.Drawing.14" shapeId="3086" r:id="rId12"/>
    <oleObject progId="AutoCAD.Drawing.14" shapeId="3108" r:id="rId13"/>
    <oleObject progId="AutoCAD.Drawing.14" shapeId="3109" r:id="rId14"/>
  </oleObjects>
</worksheet>
</file>

<file path=xl/worksheets/sheet7.xml><?xml version="1.0" encoding="utf-8"?>
<worksheet xmlns="http://schemas.openxmlformats.org/spreadsheetml/2006/main" xmlns:r="http://schemas.openxmlformats.org/officeDocument/2006/relationships">
  <dimension ref="A1:L63"/>
  <sheetViews>
    <sheetView view="pageBreakPreview" zoomScaleSheetLayoutView="100" workbookViewId="0">
      <selection activeCell="A41" sqref="A41:K41"/>
    </sheetView>
  </sheetViews>
  <sheetFormatPr defaultRowHeight="12.75"/>
  <cols>
    <col min="1" max="2" width="9.140625" style="170"/>
    <col min="3" max="3" width="16.28515625" style="170" customWidth="1"/>
    <col min="4" max="4" width="9.140625" style="170"/>
    <col min="5" max="5" width="13" style="170" customWidth="1"/>
    <col min="6" max="6" width="9.140625" style="170"/>
    <col min="7" max="7" width="10.85546875" style="170" customWidth="1"/>
    <col min="8" max="8" width="16.140625" style="170" customWidth="1"/>
    <col min="9" max="9" width="9.140625" style="170"/>
    <col min="10" max="10" width="8.140625" style="170" customWidth="1"/>
    <col min="11" max="11" width="17.7109375" style="170" customWidth="1"/>
    <col min="12" max="258" width="9.140625" style="170"/>
    <col min="259" max="259" width="16.28515625" style="170" customWidth="1"/>
    <col min="260" max="260" width="9.140625" style="170"/>
    <col min="261" max="261" width="13" style="170" customWidth="1"/>
    <col min="262" max="262" width="9.140625" style="170"/>
    <col min="263" max="263" width="10.85546875" style="170" customWidth="1"/>
    <col min="264" max="264" width="16.140625" style="170" customWidth="1"/>
    <col min="265" max="265" width="9.140625" style="170"/>
    <col min="266" max="266" width="8.140625" style="170" customWidth="1"/>
    <col min="267" max="267" width="17.7109375" style="170" customWidth="1"/>
    <col min="268" max="514" width="9.140625" style="170"/>
    <col min="515" max="515" width="16.28515625" style="170" customWidth="1"/>
    <col min="516" max="516" width="9.140625" style="170"/>
    <col min="517" max="517" width="13" style="170" customWidth="1"/>
    <col min="518" max="518" width="9.140625" style="170"/>
    <col min="519" max="519" width="10.85546875" style="170" customWidth="1"/>
    <col min="520" max="520" width="16.140625" style="170" customWidth="1"/>
    <col min="521" max="521" width="9.140625" style="170"/>
    <col min="522" max="522" width="8.140625" style="170" customWidth="1"/>
    <col min="523" max="523" width="17.7109375" style="170" customWidth="1"/>
    <col min="524" max="770" width="9.140625" style="170"/>
    <col min="771" max="771" width="16.28515625" style="170" customWidth="1"/>
    <col min="772" max="772" width="9.140625" style="170"/>
    <col min="773" max="773" width="13" style="170" customWidth="1"/>
    <col min="774" max="774" width="9.140625" style="170"/>
    <col min="775" max="775" width="10.85546875" style="170" customWidth="1"/>
    <col min="776" max="776" width="16.140625" style="170" customWidth="1"/>
    <col min="777" max="777" width="9.140625" style="170"/>
    <col min="778" max="778" width="8.140625" style="170" customWidth="1"/>
    <col min="779" max="779" width="17.7109375" style="170" customWidth="1"/>
    <col min="780" max="1026" width="9.140625" style="170"/>
    <col min="1027" max="1027" width="16.28515625" style="170" customWidth="1"/>
    <col min="1028" max="1028" width="9.140625" style="170"/>
    <col min="1029" max="1029" width="13" style="170" customWidth="1"/>
    <col min="1030" max="1030" width="9.140625" style="170"/>
    <col min="1031" max="1031" width="10.85546875" style="170" customWidth="1"/>
    <col min="1032" max="1032" width="16.140625" style="170" customWidth="1"/>
    <col min="1033" max="1033" width="9.140625" style="170"/>
    <col min="1034" max="1034" width="8.140625" style="170" customWidth="1"/>
    <col min="1035" max="1035" width="17.7109375" style="170" customWidth="1"/>
    <col min="1036" max="1282" width="9.140625" style="170"/>
    <col min="1283" max="1283" width="16.28515625" style="170" customWidth="1"/>
    <col min="1284" max="1284" width="9.140625" style="170"/>
    <col min="1285" max="1285" width="13" style="170" customWidth="1"/>
    <col min="1286" max="1286" width="9.140625" style="170"/>
    <col min="1287" max="1287" width="10.85546875" style="170" customWidth="1"/>
    <col min="1288" max="1288" width="16.140625" style="170" customWidth="1"/>
    <col min="1289" max="1289" width="9.140625" style="170"/>
    <col min="1290" max="1290" width="8.140625" style="170" customWidth="1"/>
    <col min="1291" max="1291" width="17.7109375" style="170" customWidth="1"/>
    <col min="1292" max="1538" width="9.140625" style="170"/>
    <col min="1539" max="1539" width="16.28515625" style="170" customWidth="1"/>
    <col min="1540" max="1540" width="9.140625" style="170"/>
    <col min="1541" max="1541" width="13" style="170" customWidth="1"/>
    <col min="1542" max="1542" width="9.140625" style="170"/>
    <col min="1543" max="1543" width="10.85546875" style="170" customWidth="1"/>
    <col min="1544" max="1544" width="16.140625" style="170" customWidth="1"/>
    <col min="1545" max="1545" width="9.140625" style="170"/>
    <col min="1546" max="1546" width="8.140625" style="170" customWidth="1"/>
    <col min="1547" max="1547" width="17.7109375" style="170" customWidth="1"/>
    <col min="1548" max="1794" width="9.140625" style="170"/>
    <col min="1795" max="1795" width="16.28515625" style="170" customWidth="1"/>
    <col min="1796" max="1796" width="9.140625" style="170"/>
    <col min="1797" max="1797" width="13" style="170" customWidth="1"/>
    <col min="1798" max="1798" width="9.140625" style="170"/>
    <col min="1799" max="1799" width="10.85546875" style="170" customWidth="1"/>
    <col min="1800" max="1800" width="16.140625" style="170" customWidth="1"/>
    <col min="1801" max="1801" width="9.140625" style="170"/>
    <col min="1802" max="1802" width="8.140625" style="170" customWidth="1"/>
    <col min="1803" max="1803" width="17.7109375" style="170" customWidth="1"/>
    <col min="1804" max="2050" width="9.140625" style="170"/>
    <col min="2051" max="2051" width="16.28515625" style="170" customWidth="1"/>
    <col min="2052" max="2052" width="9.140625" style="170"/>
    <col min="2053" max="2053" width="13" style="170" customWidth="1"/>
    <col min="2054" max="2054" width="9.140625" style="170"/>
    <col min="2055" max="2055" width="10.85546875" style="170" customWidth="1"/>
    <col min="2056" max="2056" width="16.140625" style="170" customWidth="1"/>
    <col min="2057" max="2057" width="9.140625" style="170"/>
    <col min="2058" max="2058" width="8.140625" style="170" customWidth="1"/>
    <col min="2059" max="2059" width="17.7109375" style="170" customWidth="1"/>
    <col min="2060" max="2306" width="9.140625" style="170"/>
    <col min="2307" max="2307" width="16.28515625" style="170" customWidth="1"/>
    <col min="2308" max="2308" width="9.140625" style="170"/>
    <col min="2309" max="2309" width="13" style="170" customWidth="1"/>
    <col min="2310" max="2310" width="9.140625" style="170"/>
    <col min="2311" max="2311" width="10.85546875" style="170" customWidth="1"/>
    <col min="2312" max="2312" width="16.140625" style="170" customWidth="1"/>
    <col min="2313" max="2313" width="9.140625" style="170"/>
    <col min="2314" max="2314" width="8.140625" style="170" customWidth="1"/>
    <col min="2315" max="2315" width="17.7109375" style="170" customWidth="1"/>
    <col min="2316" max="2562" width="9.140625" style="170"/>
    <col min="2563" max="2563" width="16.28515625" style="170" customWidth="1"/>
    <col min="2564" max="2564" width="9.140625" style="170"/>
    <col min="2565" max="2565" width="13" style="170" customWidth="1"/>
    <col min="2566" max="2566" width="9.140625" style="170"/>
    <col min="2567" max="2567" width="10.85546875" style="170" customWidth="1"/>
    <col min="2568" max="2568" width="16.140625" style="170" customWidth="1"/>
    <col min="2569" max="2569" width="9.140625" style="170"/>
    <col min="2570" max="2570" width="8.140625" style="170" customWidth="1"/>
    <col min="2571" max="2571" width="17.7109375" style="170" customWidth="1"/>
    <col min="2572" max="2818" width="9.140625" style="170"/>
    <col min="2819" max="2819" width="16.28515625" style="170" customWidth="1"/>
    <col min="2820" max="2820" width="9.140625" style="170"/>
    <col min="2821" max="2821" width="13" style="170" customWidth="1"/>
    <col min="2822" max="2822" width="9.140625" style="170"/>
    <col min="2823" max="2823" width="10.85546875" style="170" customWidth="1"/>
    <col min="2824" max="2824" width="16.140625" style="170" customWidth="1"/>
    <col min="2825" max="2825" width="9.140625" style="170"/>
    <col min="2826" max="2826" width="8.140625" style="170" customWidth="1"/>
    <col min="2827" max="2827" width="17.7109375" style="170" customWidth="1"/>
    <col min="2828" max="3074" width="9.140625" style="170"/>
    <col min="3075" max="3075" width="16.28515625" style="170" customWidth="1"/>
    <col min="3076" max="3076" width="9.140625" style="170"/>
    <col min="3077" max="3077" width="13" style="170" customWidth="1"/>
    <col min="3078" max="3078" width="9.140625" style="170"/>
    <col min="3079" max="3079" width="10.85546875" style="170" customWidth="1"/>
    <col min="3080" max="3080" width="16.140625" style="170" customWidth="1"/>
    <col min="3081" max="3081" width="9.140625" style="170"/>
    <col min="3082" max="3082" width="8.140625" style="170" customWidth="1"/>
    <col min="3083" max="3083" width="17.7109375" style="170" customWidth="1"/>
    <col min="3084" max="3330" width="9.140625" style="170"/>
    <col min="3331" max="3331" width="16.28515625" style="170" customWidth="1"/>
    <col min="3332" max="3332" width="9.140625" style="170"/>
    <col min="3333" max="3333" width="13" style="170" customWidth="1"/>
    <col min="3334" max="3334" width="9.140625" style="170"/>
    <col min="3335" max="3335" width="10.85546875" style="170" customWidth="1"/>
    <col min="3336" max="3336" width="16.140625" style="170" customWidth="1"/>
    <col min="3337" max="3337" width="9.140625" style="170"/>
    <col min="3338" max="3338" width="8.140625" style="170" customWidth="1"/>
    <col min="3339" max="3339" width="17.7109375" style="170" customWidth="1"/>
    <col min="3340" max="3586" width="9.140625" style="170"/>
    <col min="3587" max="3587" width="16.28515625" style="170" customWidth="1"/>
    <col min="3588" max="3588" width="9.140625" style="170"/>
    <col min="3589" max="3589" width="13" style="170" customWidth="1"/>
    <col min="3590" max="3590" width="9.140625" style="170"/>
    <col min="3591" max="3591" width="10.85546875" style="170" customWidth="1"/>
    <col min="3592" max="3592" width="16.140625" style="170" customWidth="1"/>
    <col min="3593" max="3593" width="9.140625" style="170"/>
    <col min="3594" max="3594" width="8.140625" style="170" customWidth="1"/>
    <col min="3595" max="3595" width="17.7109375" style="170" customWidth="1"/>
    <col min="3596" max="3842" width="9.140625" style="170"/>
    <col min="3843" max="3843" width="16.28515625" style="170" customWidth="1"/>
    <col min="3844" max="3844" width="9.140625" style="170"/>
    <col min="3845" max="3845" width="13" style="170" customWidth="1"/>
    <col min="3846" max="3846" width="9.140625" style="170"/>
    <col min="3847" max="3847" width="10.85546875" style="170" customWidth="1"/>
    <col min="3848" max="3848" width="16.140625" style="170" customWidth="1"/>
    <col min="3849" max="3849" width="9.140625" style="170"/>
    <col min="3850" max="3850" width="8.140625" style="170" customWidth="1"/>
    <col min="3851" max="3851" width="17.7109375" style="170" customWidth="1"/>
    <col min="3852" max="4098" width="9.140625" style="170"/>
    <col min="4099" max="4099" width="16.28515625" style="170" customWidth="1"/>
    <col min="4100" max="4100" width="9.140625" style="170"/>
    <col min="4101" max="4101" width="13" style="170" customWidth="1"/>
    <col min="4102" max="4102" width="9.140625" style="170"/>
    <col min="4103" max="4103" width="10.85546875" style="170" customWidth="1"/>
    <col min="4104" max="4104" width="16.140625" style="170" customWidth="1"/>
    <col min="4105" max="4105" width="9.140625" style="170"/>
    <col min="4106" max="4106" width="8.140625" style="170" customWidth="1"/>
    <col min="4107" max="4107" width="17.7109375" style="170" customWidth="1"/>
    <col min="4108" max="4354" width="9.140625" style="170"/>
    <col min="4355" max="4355" width="16.28515625" style="170" customWidth="1"/>
    <col min="4356" max="4356" width="9.140625" style="170"/>
    <col min="4357" max="4357" width="13" style="170" customWidth="1"/>
    <col min="4358" max="4358" width="9.140625" style="170"/>
    <col min="4359" max="4359" width="10.85546875" style="170" customWidth="1"/>
    <col min="4360" max="4360" width="16.140625" style="170" customWidth="1"/>
    <col min="4361" max="4361" width="9.140625" style="170"/>
    <col min="4362" max="4362" width="8.140625" style="170" customWidth="1"/>
    <col min="4363" max="4363" width="17.7109375" style="170" customWidth="1"/>
    <col min="4364" max="4610" width="9.140625" style="170"/>
    <col min="4611" max="4611" width="16.28515625" style="170" customWidth="1"/>
    <col min="4612" max="4612" width="9.140625" style="170"/>
    <col min="4613" max="4613" width="13" style="170" customWidth="1"/>
    <col min="4614" max="4614" width="9.140625" style="170"/>
    <col min="4615" max="4615" width="10.85546875" style="170" customWidth="1"/>
    <col min="4616" max="4616" width="16.140625" style="170" customWidth="1"/>
    <col min="4617" max="4617" width="9.140625" style="170"/>
    <col min="4618" max="4618" width="8.140625" style="170" customWidth="1"/>
    <col min="4619" max="4619" width="17.7109375" style="170" customWidth="1"/>
    <col min="4620" max="4866" width="9.140625" style="170"/>
    <col min="4867" max="4867" width="16.28515625" style="170" customWidth="1"/>
    <col min="4868" max="4868" width="9.140625" style="170"/>
    <col min="4869" max="4869" width="13" style="170" customWidth="1"/>
    <col min="4870" max="4870" width="9.140625" style="170"/>
    <col min="4871" max="4871" width="10.85546875" style="170" customWidth="1"/>
    <col min="4872" max="4872" width="16.140625" style="170" customWidth="1"/>
    <col min="4873" max="4873" width="9.140625" style="170"/>
    <col min="4874" max="4874" width="8.140625" style="170" customWidth="1"/>
    <col min="4875" max="4875" width="17.7109375" style="170" customWidth="1"/>
    <col min="4876" max="5122" width="9.140625" style="170"/>
    <col min="5123" max="5123" width="16.28515625" style="170" customWidth="1"/>
    <col min="5124" max="5124" width="9.140625" style="170"/>
    <col min="5125" max="5125" width="13" style="170" customWidth="1"/>
    <col min="5126" max="5126" width="9.140625" style="170"/>
    <col min="5127" max="5127" width="10.85546875" style="170" customWidth="1"/>
    <col min="5128" max="5128" width="16.140625" style="170" customWidth="1"/>
    <col min="5129" max="5129" width="9.140625" style="170"/>
    <col min="5130" max="5130" width="8.140625" style="170" customWidth="1"/>
    <col min="5131" max="5131" width="17.7109375" style="170" customWidth="1"/>
    <col min="5132" max="5378" width="9.140625" style="170"/>
    <col min="5379" max="5379" width="16.28515625" style="170" customWidth="1"/>
    <col min="5380" max="5380" width="9.140625" style="170"/>
    <col min="5381" max="5381" width="13" style="170" customWidth="1"/>
    <col min="5382" max="5382" width="9.140625" style="170"/>
    <col min="5383" max="5383" width="10.85546875" style="170" customWidth="1"/>
    <col min="5384" max="5384" width="16.140625" style="170" customWidth="1"/>
    <col min="5385" max="5385" width="9.140625" style="170"/>
    <col min="5386" max="5386" width="8.140625" style="170" customWidth="1"/>
    <col min="5387" max="5387" width="17.7109375" style="170" customWidth="1"/>
    <col min="5388" max="5634" width="9.140625" style="170"/>
    <col min="5635" max="5635" width="16.28515625" style="170" customWidth="1"/>
    <col min="5636" max="5636" width="9.140625" style="170"/>
    <col min="5637" max="5637" width="13" style="170" customWidth="1"/>
    <col min="5638" max="5638" width="9.140625" style="170"/>
    <col min="5639" max="5639" width="10.85546875" style="170" customWidth="1"/>
    <col min="5640" max="5640" width="16.140625" style="170" customWidth="1"/>
    <col min="5641" max="5641" width="9.140625" style="170"/>
    <col min="5642" max="5642" width="8.140625" style="170" customWidth="1"/>
    <col min="5643" max="5643" width="17.7109375" style="170" customWidth="1"/>
    <col min="5644" max="5890" width="9.140625" style="170"/>
    <col min="5891" max="5891" width="16.28515625" style="170" customWidth="1"/>
    <col min="5892" max="5892" width="9.140625" style="170"/>
    <col min="5893" max="5893" width="13" style="170" customWidth="1"/>
    <col min="5894" max="5894" width="9.140625" style="170"/>
    <col min="5895" max="5895" width="10.85546875" style="170" customWidth="1"/>
    <col min="5896" max="5896" width="16.140625" style="170" customWidth="1"/>
    <col min="5897" max="5897" width="9.140625" style="170"/>
    <col min="5898" max="5898" width="8.140625" style="170" customWidth="1"/>
    <col min="5899" max="5899" width="17.7109375" style="170" customWidth="1"/>
    <col min="5900" max="6146" width="9.140625" style="170"/>
    <col min="6147" max="6147" width="16.28515625" style="170" customWidth="1"/>
    <col min="6148" max="6148" width="9.140625" style="170"/>
    <col min="6149" max="6149" width="13" style="170" customWidth="1"/>
    <col min="6150" max="6150" width="9.140625" style="170"/>
    <col min="6151" max="6151" width="10.85546875" style="170" customWidth="1"/>
    <col min="6152" max="6152" width="16.140625" style="170" customWidth="1"/>
    <col min="6153" max="6153" width="9.140625" style="170"/>
    <col min="6154" max="6154" width="8.140625" style="170" customWidth="1"/>
    <col min="6155" max="6155" width="17.7109375" style="170" customWidth="1"/>
    <col min="6156" max="6402" width="9.140625" style="170"/>
    <col min="6403" max="6403" width="16.28515625" style="170" customWidth="1"/>
    <col min="6404" max="6404" width="9.140625" style="170"/>
    <col min="6405" max="6405" width="13" style="170" customWidth="1"/>
    <col min="6406" max="6406" width="9.140625" style="170"/>
    <col min="6407" max="6407" width="10.85546875" style="170" customWidth="1"/>
    <col min="6408" max="6408" width="16.140625" style="170" customWidth="1"/>
    <col min="6409" max="6409" width="9.140625" style="170"/>
    <col min="6410" max="6410" width="8.140625" style="170" customWidth="1"/>
    <col min="6411" max="6411" width="17.7109375" style="170" customWidth="1"/>
    <col min="6412" max="6658" width="9.140625" style="170"/>
    <col min="6659" max="6659" width="16.28515625" style="170" customWidth="1"/>
    <col min="6660" max="6660" width="9.140625" style="170"/>
    <col min="6661" max="6661" width="13" style="170" customWidth="1"/>
    <col min="6662" max="6662" width="9.140625" style="170"/>
    <col min="6663" max="6663" width="10.85546875" style="170" customWidth="1"/>
    <col min="6664" max="6664" width="16.140625" style="170" customWidth="1"/>
    <col min="6665" max="6665" width="9.140625" style="170"/>
    <col min="6666" max="6666" width="8.140625" style="170" customWidth="1"/>
    <col min="6667" max="6667" width="17.7109375" style="170" customWidth="1"/>
    <col min="6668" max="6914" width="9.140625" style="170"/>
    <col min="6915" max="6915" width="16.28515625" style="170" customWidth="1"/>
    <col min="6916" max="6916" width="9.140625" style="170"/>
    <col min="6917" max="6917" width="13" style="170" customWidth="1"/>
    <col min="6918" max="6918" width="9.140625" style="170"/>
    <col min="6919" max="6919" width="10.85546875" style="170" customWidth="1"/>
    <col min="6920" max="6920" width="16.140625" style="170" customWidth="1"/>
    <col min="6921" max="6921" width="9.140625" style="170"/>
    <col min="6922" max="6922" width="8.140625" style="170" customWidth="1"/>
    <col min="6923" max="6923" width="17.7109375" style="170" customWidth="1"/>
    <col min="6924" max="7170" width="9.140625" style="170"/>
    <col min="7171" max="7171" width="16.28515625" style="170" customWidth="1"/>
    <col min="7172" max="7172" width="9.140625" style="170"/>
    <col min="7173" max="7173" width="13" style="170" customWidth="1"/>
    <col min="7174" max="7174" width="9.140625" style="170"/>
    <col min="7175" max="7175" width="10.85546875" style="170" customWidth="1"/>
    <col min="7176" max="7176" width="16.140625" style="170" customWidth="1"/>
    <col min="7177" max="7177" width="9.140625" style="170"/>
    <col min="7178" max="7178" width="8.140625" style="170" customWidth="1"/>
    <col min="7179" max="7179" width="17.7109375" style="170" customWidth="1"/>
    <col min="7180" max="7426" width="9.140625" style="170"/>
    <col min="7427" max="7427" width="16.28515625" style="170" customWidth="1"/>
    <col min="7428" max="7428" width="9.140625" style="170"/>
    <col min="7429" max="7429" width="13" style="170" customWidth="1"/>
    <col min="7430" max="7430" width="9.140625" style="170"/>
    <col min="7431" max="7431" width="10.85546875" style="170" customWidth="1"/>
    <col min="7432" max="7432" width="16.140625" style="170" customWidth="1"/>
    <col min="7433" max="7433" width="9.140625" style="170"/>
    <col min="7434" max="7434" width="8.140625" style="170" customWidth="1"/>
    <col min="7435" max="7435" width="17.7109375" style="170" customWidth="1"/>
    <col min="7436" max="7682" width="9.140625" style="170"/>
    <col min="7683" max="7683" width="16.28515625" style="170" customWidth="1"/>
    <col min="7684" max="7684" width="9.140625" style="170"/>
    <col min="7685" max="7685" width="13" style="170" customWidth="1"/>
    <col min="7686" max="7686" width="9.140625" style="170"/>
    <col min="7687" max="7687" width="10.85546875" style="170" customWidth="1"/>
    <col min="7688" max="7688" width="16.140625" style="170" customWidth="1"/>
    <col min="7689" max="7689" width="9.140625" style="170"/>
    <col min="7690" max="7690" width="8.140625" style="170" customWidth="1"/>
    <col min="7691" max="7691" width="17.7109375" style="170" customWidth="1"/>
    <col min="7692" max="7938" width="9.140625" style="170"/>
    <col min="7939" max="7939" width="16.28515625" style="170" customWidth="1"/>
    <col min="7940" max="7940" width="9.140625" style="170"/>
    <col min="7941" max="7941" width="13" style="170" customWidth="1"/>
    <col min="7942" max="7942" width="9.140625" style="170"/>
    <col min="7943" max="7943" width="10.85546875" style="170" customWidth="1"/>
    <col min="7944" max="7944" width="16.140625" style="170" customWidth="1"/>
    <col min="7945" max="7945" width="9.140625" style="170"/>
    <col min="7946" max="7946" width="8.140625" style="170" customWidth="1"/>
    <col min="7947" max="7947" width="17.7109375" style="170" customWidth="1"/>
    <col min="7948" max="8194" width="9.140625" style="170"/>
    <col min="8195" max="8195" width="16.28515625" style="170" customWidth="1"/>
    <col min="8196" max="8196" width="9.140625" style="170"/>
    <col min="8197" max="8197" width="13" style="170" customWidth="1"/>
    <col min="8198" max="8198" width="9.140625" style="170"/>
    <col min="8199" max="8199" width="10.85546875" style="170" customWidth="1"/>
    <col min="8200" max="8200" width="16.140625" style="170" customWidth="1"/>
    <col min="8201" max="8201" width="9.140625" style="170"/>
    <col min="8202" max="8202" width="8.140625" style="170" customWidth="1"/>
    <col min="8203" max="8203" width="17.7109375" style="170" customWidth="1"/>
    <col min="8204" max="8450" width="9.140625" style="170"/>
    <col min="8451" max="8451" width="16.28515625" style="170" customWidth="1"/>
    <col min="8452" max="8452" width="9.140625" style="170"/>
    <col min="8453" max="8453" width="13" style="170" customWidth="1"/>
    <col min="8454" max="8454" width="9.140625" style="170"/>
    <col min="8455" max="8455" width="10.85546875" style="170" customWidth="1"/>
    <col min="8456" max="8456" width="16.140625" style="170" customWidth="1"/>
    <col min="8457" max="8457" width="9.140625" style="170"/>
    <col min="8458" max="8458" width="8.140625" style="170" customWidth="1"/>
    <col min="8459" max="8459" width="17.7109375" style="170" customWidth="1"/>
    <col min="8460" max="8706" width="9.140625" style="170"/>
    <col min="8707" max="8707" width="16.28515625" style="170" customWidth="1"/>
    <col min="8708" max="8708" width="9.140625" style="170"/>
    <col min="8709" max="8709" width="13" style="170" customWidth="1"/>
    <col min="8710" max="8710" width="9.140625" style="170"/>
    <col min="8711" max="8711" width="10.85546875" style="170" customWidth="1"/>
    <col min="8712" max="8712" width="16.140625" style="170" customWidth="1"/>
    <col min="8713" max="8713" width="9.140625" style="170"/>
    <col min="8714" max="8714" width="8.140625" style="170" customWidth="1"/>
    <col min="8715" max="8715" width="17.7109375" style="170" customWidth="1"/>
    <col min="8716" max="8962" width="9.140625" style="170"/>
    <col min="8963" max="8963" width="16.28515625" style="170" customWidth="1"/>
    <col min="8964" max="8964" width="9.140625" style="170"/>
    <col min="8965" max="8965" width="13" style="170" customWidth="1"/>
    <col min="8966" max="8966" width="9.140625" style="170"/>
    <col min="8967" max="8967" width="10.85546875" style="170" customWidth="1"/>
    <col min="8968" max="8968" width="16.140625" style="170" customWidth="1"/>
    <col min="8969" max="8969" width="9.140625" style="170"/>
    <col min="8970" max="8970" width="8.140625" style="170" customWidth="1"/>
    <col min="8971" max="8971" width="17.7109375" style="170" customWidth="1"/>
    <col min="8972" max="9218" width="9.140625" style="170"/>
    <col min="9219" max="9219" width="16.28515625" style="170" customWidth="1"/>
    <col min="9220" max="9220" width="9.140625" style="170"/>
    <col min="9221" max="9221" width="13" style="170" customWidth="1"/>
    <col min="9222" max="9222" width="9.140625" style="170"/>
    <col min="9223" max="9223" width="10.85546875" style="170" customWidth="1"/>
    <col min="9224" max="9224" width="16.140625" style="170" customWidth="1"/>
    <col min="9225" max="9225" width="9.140625" style="170"/>
    <col min="9226" max="9226" width="8.140625" style="170" customWidth="1"/>
    <col min="9227" max="9227" width="17.7109375" style="170" customWidth="1"/>
    <col min="9228" max="9474" width="9.140625" style="170"/>
    <col min="9475" max="9475" width="16.28515625" style="170" customWidth="1"/>
    <col min="9476" max="9476" width="9.140625" style="170"/>
    <col min="9477" max="9477" width="13" style="170" customWidth="1"/>
    <col min="9478" max="9478" width="9.140625" style="170"/>
    <col min="9479" max="9479" width="10.85546875" style="170" customWidth="1"/>
    <col min="9480" max="9480" width="16.140625" style="170" customWidth="1"/>
    <col min="9481" max="9481" width="9.140625" style="170"/>
    <col min="9482" max="9482" width="8.140625" style="170" customWidth="1"/>
    <col min="9483" max="9483" width="17.7109375" style="170" customWidth="1"/>
    <col min="9484" max="9730" width="9.140625" style="170"/>
    <col min="9731" max="9731" width="16.28515625" style="170" customWidth="1"/>
    <col min="9732" max="9732" width="9.140625" style="170"/>
    <col min="9733" max="9733" width="13" style="170" customWidth="1"/>
    <col min="9734" max="9734" width="9.140625" style="170"/>
    <col min="9735" max="9735" width="10.85546875" style="170" customWidth="1"/>
    <col min="9736" max="9736" width="16.140625" style="170" customWidth="1"/>
    <col min="9737" max="9737" width="9.140625" style="170"/>
    <col min="9738" max="9738" width="8.140625" style="170" customWidth="1"/>
    <col min="9739" max="9739" width="17.7109375" style="170" customWidth="1"/>
    <col min="9740" max="9986" width="9.140625" style="170"/>
    <col min="9987" max="9987" width="16.28515625" style="170" customWidth="1"/>
    <col min="9988" max="9988" width="9.140625" style="170"/>
    <col min="9989" max="9989" width="13" style="170" customWidth="1"/>
    <col min="9990" max="9990" width="9.140625" style="170"/>
    <col min="9991" max="9991" width="10.85546875" style="170" customWidth="1"/>
    <col min="9992" max="9992" width="16.140625" style="170" customWidth="1"/>
    <col min="9993" max="9993" width="9.140625" style="170"/>
    <col min="9994" max="9994" width="8.140625" style="170" customWidth="1"/>
    <col min="9995" max="9995" width="17.7109375" style="170" customWidth="1"/>
    <col min="9996" max="10242" width="9.140625" style="170"/>
    <col min="10243" max="10243" width="16.28515625" style="170" customWidth="1"/>
    <col min="10244" max="10244" width="9.140625" style="170"/>
    <col min="10245" max="10245" width="13" style="170" customWidth="1"/>
    <col min="10246" max="10246" width="9.140625" style="170"/>
    <col min="10247" max="10247" width="10.85546875" style="170" customWidth="1"/>
    <col min="10248" max="10248" width="16.140625" style="170" customWidth="1"/>
    <col min="10249" max="10249" width="9.140625" style="170"/>
    <col min="10250" max="10250" width="8.140625" style="170" customWidth="1"/>
    <col min="10251" max="10251" width="17.7109375" style="170" customWidth="1"/>
    <col min="10252" max="10498" width="9.140625" style="170"/>
    <col min="10499" max="10499" width="16.28515625" style="170" customWidth="1"/>
    <col min="10500" max="10500" width="9.140625" style="170"/>
    <col min="10501" max="10501" width="13" style="170" customWidth="1"/>
    <col min="10502" max="10502" width="9.140625" style="170"/>
    <col min="10503" max="10503" width="10.85546875" style="170" customWidth="1"/>
    <col min="10504" max="10504" width="16.140625" style="170" customWidth="1"/>
    <col min="10505" max="10505" width="9.140625" style="170"/>
    <col min="10506" max="10506" width="8.140625" style="170" customWidth="1"/>
    <col min="10507" max="10507" width="17.7109375" style="170" customWidth="1"/>
    <col min="10508" max="10754" width="9.140625" style="170"/>
    <col min="10755" max="10755" width="16.28515625" style="170" customWidth="1"/>
    <col min="10756" max="10756" width="9.140625" style="170"/>
    <col min="10757" max="10757" width="13" style="170" customWidth="1"/>
    <col min="10758" max="10758" width="9.140625" style="170"/>
    <col min="10759" max="10759" width="10.85546875" style="170" customWidth="1"/>
    <col min="10760" max="10760" width="16.140625" style="170" customWidth="1"/>
    <col min="10761" max="10761" width="9.140625" style="170"/>
    <col min="10762" max="10762" width="8.140625" style="170" customWidth="1"/>
    <col min="10763" max="10763" width="17.7109375" style="170" customWidth="1"/>
    <col min="10764" max="11010" width="9.140625" style="170"/>
    <col min="11011" max="11011" width="16.28515625" style="170" customWidth="1"/>
    <col min="11012" max="11012" width="9.140625" style="170"/>
    <col min="11013" max="11013" width="13" style="170" customWidth="1"/>
    <col min="11014" max="11014" width="9.140625" style="170"/>
    <col min="11015" max="11015" width="10.85546875" style="170" customWidth="1"/>
    <col min="11016" max="11016" width="16.140625" style="170" customWidth="1"/>
    <col min="11017" max="11017" width="9.140625" style="170"/>
    <col min="11018" max="11018" width="8.140625" style="170" customWidth="1"/>
    <col min="11019" max="11019" width="17.7109375" style="170" customWidth="1"/>
    <col min="11020" max="11266" width="9.140625" style="170"/>
    <col min="11267" max="11267" width="16.28515625" style="170" customWidth="1"/>
    <col min="11268" max="11268" width="9.140625" style="170"/>
    <col min="11269" max="11269" width="13" style="170" customWidth="1"/>
    <col min="11270" max="11270" width="9.140625" style="170"/>
    <col min="11271" max="11271" width="10.85546875" style="170" customWidth="1"/>
    <col min="11272" max="11272" width="16.140625" style="170" customWidth="1"/>
    <col min="11273" max="11273" width="9.140625" style="170"/>
    <col min="11274" max="11274" width="8.140625" style="170" customWidth="1"/>
    <col min="11275" max="11275" width="17.7109375" style="170" customWidth="1"/>
    <col min="11276" max="11522" width="9.140625" style="170"/>
    <col min="11523" max="11523" width="16.28515625" style="170" customWidth="1"/>
    <col min="11524" max="11524" width="9.140625" style="170"/>
    <col min="11525" max="11525" width="13" style="170" customWidth="1"/>
    <col min="11526" max="11526" width="9.140625" style="170"/>
    <col min="11527" max="11527" width="10.85546875" style="170" customWidth="1"/>
    <col min="11528" max="11528" width="16.140625" style="170" customWidth="1"/>
    <col min="11529" max="11529" width="9.140625" style="170"/>
    <col min="11530" max="11530" width="8.140625" style="170" customWidth="1"/>
    <col min="11531" max="11531" width="17.7109375" style="170" customWidth="1"/>
    <col min="11532" max="11778" width="9.140625" style="170"/>
    <col min="11779" max="11779" width="16.28515625" style="170" customWidth="1"/>
    <col min="11780" max="11780" width="9.140625" style="170"/>
    <col min="11781" max="11781" width="13" style="170" customWidth="1"/>
    <col min="11782" max="11782" width="9.140625" style="170"/>
    <col min="11783" max="11783" width="10.85546875" style="170" customWidth="1"/>
    <col min="11784" max="11784" width="16.140625" style="170" customWidth="1"/>
    <col min="11785" max="11785" width="9.140625" style="170"/>
    <col min="11786" max="11786" width="8.140625" style="170" customWidth="1"/>
    <col min="11787" max="11787" width="17.7109375" style="170" customWidth="1"/>
    <col min="11788" max="12034" width="9.140625" style="170"/>
    <col min="12035" max="12035" width="16.28515625" style="170" customWidth="1"/>
    <col min="12036" max="12036" width="9.140625" style="170"/>
    <col min="12037" max="12037" width="13" style="170" customWidth="1"/>
    <col min="12038" max="12038" width="9.140625" style="170"/>
    <col min="12039" max="12039" width="10.85546875" style="170" customWidth="1"/>
    <col min="12040" max="12040" width="16.140625" style="170" customWidth="1"/>
    <col min="12041" max="12041" width="9.140625" style="170"/>
    <col min="12042" max="12042" width="8.140625" style="170" customWidth="1"/>
    <col min="12043" max="12043" width="17.7109375" style="170" customWidth="1"/>
    <col min="12044" max="12290" width="9.140625" style="170"/>
    <col min="12291" max="12291" width="16.28515625" style="170" customWidth="1"/>
    <col min="12292" max="12292" width="9.140625" style="170"/>
    <col min="12293" max="12293" width="13" style="170" customWidth="1"/>
    <col min="12294" max="12294" width="9.140625" style="170"/>
    <col min="12295" max="12295" width="10.85546875" style="170" customWidth="1"/>
    <col min="12296" max="12296" width="16.140625" style="170" customWidth="1"/>
    <col min="12297" max="12297" width="9.140625" style="170"/>
    <col min="12298" max="12298" width="8.140625" style="170" customWidth="1"/>
    <col min="12299" max="12299" width="17.7109375" style="170" customWidth="1"/>
    <col min="12300" max="12546" width="9.140625" style="170"/>
    <col min="12547" max="12547" width="16.28515625" style="170" customWidth="1"/>
    <col min="12548" max="12548" width="9.140625" style="170"/>
    <col min="12549" max="12549" width="13" style="170" customWidth="1"/>
    <col min="12550" max="12550" width="9.140625" style="170"/>
    <col min="12551" max="12551" width="10.85546875" style="170" customWidth="1"/>
    <col min="12552" max="12552" width="16.140625" style="170" customWidth="1"/>
    <col min="12553" max="12553" width="9.140625" style="170"/>
    <col min="12554" max="12554" width="8.140625" style="170" customWidth="1"/>
    <col min="12555" max="12555" width="17.7109375" style="170" customWidth="1"/>
    <col min="12556" max="12802" width="9.140625" style="170"/>
    <col min="12803" max="12803" width="16.28515625" style="170" customWidth="1"/>
    <col min="12804" max="12804" width="9.140625" style="170"/>
    <col min="12805" max="12805" width="13" style="170" customWidth="1"/>
    <col min="12806" max="12806" width="9.140625" style="170"/>
    <col min="12807" max="12807" width="10.85546875" style="170" customWidth="1"/>
    <col min="12808" max="12808" width="16.140625" style="170" customWidth="1"/>
    <col min="12809" max="12809" width="9.140625" style="170"/>
    <col min="12810" max="12810" width="8.140625" style="170" customWidth="1"/>
    <col min="12811" max="12811" width="17.7109375" style="170" customWidth="1"/>
    <col min="12812" max="13058" width="9.140625" style="170"/>
    <col min="13059" max="13059" width="16.28515625" style="170" customWidth="1"/>
    <col min="13060" max="13060" width="9.140625" style="170"/>
    <col min="13061" max="13061" width="13" style="170" customWidth="1"/>
    <col min="13062" max="13062" width="9.140625" style="170"/>
    <col min="13063" max="13063" width="10.85546875" style="170" customWidth="1"/>
    <col min="13064" max="13064" width="16.140625" style="170" customWidth="1"/>
    <col min="13065" max="13065" width="9.140625" style="170"/>
    <col min="13066" max="13066" width="8.140625" style="170" customWidth="1"/>
    <col min="13067" max="13067" width="17.7109375" style="170" customWidth="1"/>
    <col min="13068" max="13314" width="9.140625" style="170"/>
    <col min="13315" max="13315" width="16.28515625" style="170" customWidth="1"/>
    <col min="13316" max="13316" width="9.140625" style="170"/>
    <col min="13317" max="13317" width="13" style="170" customWidth="1"/>
    <col min="13318" max="13318" width="9.140625" style="170"/>
    <col min="13319" max="13319" width="10.85546875" style="170" customWidth="1"/>
    <col min="13320" max="13320" width="16.140625" style="170" customWidth="1"/>
    <col min="13321" max="13321" width="9.140625" style="170"/>
    <col min="13322" max="13322" width="8.140625" style="170" customWidth="1"/>
    <col min="13323" max="13323" width="17.7109375" style="170" customWidth="1"/>
    <col min="13324" max="13570" width="9.140625" style="170"/>
    <col min="13571" max="13571" width="16.28515625" style="170" customWidth="1"/>
    <col min="13572" max="13572" width="9.140625" style="170"/>
    <col min="13573" max="13573" width="13" style="170" customWidth="1"/>
    <col min="13574" max="13574" width="9.140625" style="170"/>
    <col min="13575" max="13575" width="10.85546875" style="170" customWidth="1"/>
    <col min="13576" max="13576" width="16.140625" style="170" customWidth="1"/>
    <col min="13577" max="13577" width="9.140625" style="170"/>
    <col min="13578" max="13578" width="8.140625" style="170" customWidth="1"/>
    <col min="13579" max="13579" width="17.7109375" style="170" customWidth="1"/>
    <col min="13580" max="13826" width="9.140625" style="170"/>
    <col min="13827" max="13827" width="16.28515625" style="170" customWidth="1"/>
    <col min="13828" max="13828" width="9.140625" style="170"/>
    <col min="13829" max="13829" width="13" style="170" customWidth="1"/>
    <col min="13830" max="13830" width="9.140625" style="170"/>
    <col min="13831" max="13831" width="10.85546875" style="170" customWidth="1"/>
    <col min="13832" max="13832" width="16.140625" style="170" customWidth="1"/>
    <col min="13833" max="13833" width="9.140625" style="170"/>
    <col min="13834" max="13834" width="8.140625" style="170" customWidth="1"/>
    <col min="13835" max="13835" width="17.7109375" style="170" customWidth="1"/>
    <col min="13836" max="14082" width="9.140625" style="170"/>
    <col min="14083" max="14083" width="16.28515625" style="170" customWidth="1"/>
    <col min="14084" max="14084" width="9.140625" style="170"/>
    <col min="14085" max="14085" width="13" style="170" customWidth="1"/>
    <col min="14086" max="14086" width="9.140625" style="170"/>
    <col min="14087" max="14087" width="10.85546875" style="170" customWidth="1"/>
    <col min="14088" max="14088" width="16.140625" style="170" customWidth="1"/>
    <col min="14089" max="14089" width="9.140625" style="170"/>
    <col min="14090" max="14090" width="8.140625" style="170" customWidth="1"/>
    <col min="14091" max="14091" width="17.7109375" style="170" customWidth="1"/>
    <col min="14092" max="14338" width="9.140625" style="170"/>
    <col min="14339" max="14339" width="16.28515625" style="170" customWidth="1"/>
    <col min="14340" max="14340" width="9.140625" style="170"/>
    <col min="14341" max="14341" width="13" style="170" customWidth="1"/>
    <col min="14342" max="14342" width="9.140625" style="170"/>
    <col min="14343" max="14343" width="10.85546875" style="170" customWidth="1"/>
    <col min="14344" max="14344" width="16.140625" style="170" customWidth="1"/>
    <col min="14345" max="14345" width="9.140625" style="170"/>
    <col min="14346" max="14346" width="8.140625" style="170" customWidth="1"/>
    <col min="14347" max="14347" width="17.7109375" style="170" customWidth="1"/>
    <col min="14348" max="14594" width="9.140625" style="170"/>
    <col min="14595" max="14595" width="16.28515625" style="170" customWidth="1"/>
    <col min="14596" max="14596" width="9.140625" style="170"/>
    <col min="14597" max="14597" width="13" style="170" customWidth="1"/>
    <col min="14598" max="14598" width="9.140625" style="170"/>
    <col min="14599" max="14599" width="10.85546875" style="170" customWidth="1"/>
    <col min="14600" max="14600" width="16.140625" style="170" customWidth="1"/>
    <col min="14601" max="14601" width="9.140625" style="170"/>
    <col min="14602" max="14602" width="8.140625" style="170" customWidth="1"/>
    <col min="14603" max="14603" width="17.7109375" style="170" customWidth="1"/>
    <col min="14604" max="14850" width="9.140625" style="170"/>
    <col min="14851" max="14851" width="16.28515625" style="170" customWidth="1"/>
    <col min="14852" max="14852" width="9.140625" style="170"/>
    <col min="14853" max="14853" width="13" style="170" customWidth="1"/>
    <col min="14854" max="14854" width="9.140625" style="170"/>
    <col min="14855" max="14855" width="10.85546875" style="170" customWidth="1"/>
    <col min="14856" max="14856" width="16.140625" style="170" customWidth="1"/>
    <col min="14857" max="14857" width="9.140625" style="170"/>
    <col min="14858" max="14858" width="8.140625" style="170" customWidth="1"/>
    <col min="14859" max="14859" width="17.7109375" style="170" customWidth="1"/>
    <col min="14860" max="15106" width="9.140625" style="170"/>
    <col min="15107" max="15107" width="16.28515625" style="170" customWidth="1"/>
    <col min="15108" max="15108" width="9.140625" style="170"/>
    <col min="15109" max="15109" width="13" style="170" customWidth="1"/>
    <col min="15110" max="15110" width="9.140625" style="170"/>
    <col min="15111" max="15111" width="10.85546875" style="170" customWidth="1"/>
    <col min="15112" max="15112" width="16.140625" style="170" customWidth="1"/>
    <col min="15113" max="15113" width="9.140625" style="170"/>
    <col min="15114" max="15114" width="8.140625" style="170" customWidth="1"/>
    <col min="15115" max="15115" width="17.7109375" style="170" customWidth="1"/>
    <col min="15116" max="15362" width="9.140625" style="170"/>
    <col min="15363" max="15363" width="16.28515625" style="170" customWidth="1"/>
    <col min="15364" max="15364" width="9.140625" style="170"/>
    <col min="15365" max="15365" width="13" style="170" customWidth="1"/>
    <col min="15366" max="15366" width="9.140625" style="170"/>
    <col min="15367" max="15367" width="10.85546875" style="170" customWidth="1"/>
    <col min="15368" max="15368" width="16.140625" style="170" customWidth="1"/>
    <col min="15369" max="15369" width="9.140625" style="170"/>
    <col min="15370" max="15370" width="8.140625" style="170" customWidth="1"/>
    <col min="15371" max="15371" width="17.7109375" style="170" customWidth="1"/>
    <col min="15372" max="15618" width="9.140625" style="170"/>
    <col min="15619" max="15619" width="16.28515625" style="170" customWidth="1"/>
    <col min="15620" max="15620" width="9.140625" style="170"/>
    <col min="15621" max="15621" width="13" style="170" customWidth="1"/>
    <col min="15622" max="15622" width="9.140625" style="170"/>
    <col min="15623" max="15623" width="10.85546875" style="170" customWidth="1"/>
    <col min="15624" max="15624" width="16.140625" style="170" customWidth="1"/>
    <col min="15625" max="15625" width="9.140625" style="170"/>
    <col min="15626" max="15626" width="8.140625" style="170" customWidth="1"/>
    <col min="15627" max="15627" width="17.7109375" style="170" customWidth="1"/>
    <col min="15628" max="15874" width="9.140625" style="170"/>
    <col min="15875" max="15875" width="16.28515625" style="170" customWidth="1"/>
    <col min="15876" max="15876" width="9.140625" style="170"/>
    <col min="15877" max="15877" width="13" style="170" customWidth="1"/>
    <col min="15878" max="15878" width="9.140625" style="170"/>
    <col min="15879" max="15879" width="10.85546875" style="170" customWidth="1"/>
    <col min="15880" max="15880" width="16.140625" style="170" customWidth="1"/>
    <col min="15881" max="15881" width="9.140625" style="170"/>
    <col min="15882" max="15882" width="8.140625" style="170" customWidth="1"/>
    <col min="15883" max="15883" width="17.7109375" style="170" customWidth="1"/>
    <col min="15884" max="16130" width="9.140625" style="170"/>
    <col min="16131" max="16131" width="16.28515625" style="170" customWidth="1"/>
    <col min="16132" max="16132" width="9.140625" style="170"/>
    <col min="16133" max="16133" width="13" style="170" customWidth="1"/>
    <col min="16134" max="16134" width="9.140625" style="170"/>
    <col min="16135" max="16135" width="10.85546875" style="170" customWidth="1"/>
    <col min="16136" max="16136" width="16.140625" style="170" customWidth="1"/>
    <col min="16137" max="16137" width="9.140625" style="170"/>
    <col min="16138" max="16138" width="8.140625" style="170" customWidth="1"/>
    <col min="16139" max="16139" width="17.7109375" style="170" customWidth="1"/>
    <col min="16140" max="16384" width="9.140625" style="170"/>
  </cols>
  <sheetData>
    <row r="1" spans="1:11" s="169" customFormat="1" ht="20.100000000000001" customHeight="1">
      <c r="A1" s="943" t="s">
        <v>261</v>
      </c>
      <c r="B1" s="944"/>
      <c r="C1" s="945"/>
      <c r="D1" s="952" t="s">
        <v>262</v>
      </c>
      <c r="E1" s="953"/>
      <c r="F1" s="953"/>
      <c r="G1" s="954"/>
      <c r="H1" s="961" t="s">
        <v>440</v>
      </c>
      <c r="I1" s="962"/>
      <c r="J1" s="962"/>
      <c r="K1" s="963"/>
    </row>
    <row r="2" spans="1:11" s="169" customFormat="1" ht="20.100000000000001" customHeight="1">
      <c r="A2" s="946"/>
      <c r="B2" s="947"/>
      <c r="C2" s="948"/>
      <c r="D2" s="955"/>
      <c r="E2" s="956"/>
      <c r="F2" s="956"/>
      <c r="G2" s="957"/>
      <c r="H2" s="964" t="s">
        <v>263</v>
      </c>
      <c r="I2" s="965"/>
      <c r="J2" s="965"/>
      <c r="K2" s="966"/>
    </row>
    <row r="3" spans="1:11" s="169" customFormat="1" ht="20.100000000000001" customHeight="1" thickBot="1">
      <c r="A3" s="949"/>
      <c r="B3" s="950"/>
      <c r="C3" s="951"/>
      <c r="D3" s="958"/>
      <c r="E3" s="959"/>
      <c r="F3" s="959"/>
      <c r="G3" s="960"/>
      <c r="H3" s="967" t="s">
        <v>264</v>
      </c>
      <c r="I3" s="968"/>
      <c r="J3" s="968"/>
      <c r="K3" s="969"/>
    </row>
    <row r="4" spans="1:11" ht="24.95" customHeight="1">
      <c r="A4" s="940" t="s">
        <v>443</v>
      </c>
      <c r="B4" s="941"/>
      <c r="C4" s="941"/>
      <c r="D4" s="941"/>
      <c r="E4" s="941"/>
      <c r="F4" s="941"/>
      <c r="G4" s="941"/>
      <c r="H4" s="941"/>
      <c r="I4" s="941"/>
      <c r="J4" s="941"/>
      <c r="K4" s="942"/>
    </row>
    <row r="5" spans="1:11" ht="24.95" customHeight="1">
      <c r="A5" s="970" t="s">
        <v>448</v>
      </c>
      <c r="B5" s="971"/>
      <c r="C5" s="971"/>
      <c r="D5" s="971"/>
      <c r="E5" s="971"/>
      <c r="F5" s="971"/>
      <c r="G5" s="971"/>
      <c r="H5" s="971"/>
      <c r="I5" s="971"/>
      <c r="J5" s="971"/>
      <c r="K5" s="972"/>
    </row>
    <row r="6" spans="1:11">
      <c r="A6" s="973" t="s">
        <v>265</v>
      </c>
      <c r="B6" s="974"/>
      <c r="C6" s="974"/>
      <c r="D6" s="974"/>
      <c r="E6" s="974"/>
      <c r="F6" s="974"/>
      <c r="G6" s="974"/>
      <c r="H6" s="974"/>
      <c r="I6" s="974"/>
      <c r="J6" s="974"/>
      <c r="K6" s="975"/>
    </row>
    <row r="7" spans="1:11">
      <c r="A7" s="976"/>
      <c r="B7" s="974"/>
      <c r="C7" s="974"/>
      <c r="D7" s="974"/>
      <c r="E7" s="974"/>
      <c r="F7" s="974"/>
      <c r="G7" s="974"/>
      <c r="H7" s="974"/>
      <c r="I7" s="974"/>
      <c r="J7" s="974"/>
      <c r="K7" s="975"/>
    </row>
    <row r="8" spans="1:11">
      <c r="A8" s="976"/>
      <c r="B8" s="974"/>
      <c r="C8" s="974"/>
      <c r="D8" s="974"/>
      <c r="E8" s="974"/>
      <c r="F8" s="974"/>
      <c r="G8" s="974"/>
      <c r="H8" s="974"/>
      <c r="I8" s="974"/>
      <c r="J8" s="974"/>
      <c r="K8" s="975"/>
    </row>
    <row r="9" spans="1:11">
      <c r="A9" s="976"/>
      <c r="B9" s="974"/>
      <c r="C9" s="974"/>
      <c r="D9" s="974"/>
      <c r="E9" s="974"/>
      <c r="F9" s="974"/>
      <c r="G9" s="974"/>
      <c r="H9" s="974"/>
      <c r="I9" s="974"/>
      <c r="J9" s="974"/>
      <c r="K9" s="975"/>
    </row>
    <row r="10" spans="1:11">
      <c r="A10" s="976"/>
      <c r="B10" s="974"/>
      <c r="C10" s="974"/>
      <c r="D10" s="974"/>
      <c r="E10" s="974"/>
      <c r="F10" s="974"/>
      <c r="G10" s="974"/>
      <c r="H10" s="974"/>
      <c r="I10" s="974"/>
      <c r="J10" s="974"/>
      <c r="K10" s="975"/>
    </row>
    <row r="11" spans="1:11">
      <c r="A11" s="976"/>
      <c r="B11" s="974"/>
      <c r="C11" s="974"/>
      <c r="D11" s="974"/>
      <c r="E11" s="974"/>
      <c r="F11" s="974"/>
      <c r="G11" s="974"/>
      <c r="H11" s="974"/>
      <c r="I11" s="974"/>
      <c r="J11" s="974"/>
      <c r="K11" s="975"/>
    </row>
    <row r="12" spans="1:11">
      <c r="A12" s="976"/>
      <c r="B12" s="974"/>
      <c r="C12" s="974"/>
      <c r="D12" s="974"/>
      <c r="E12" s="974"/>
      <c r="F12" s="974"/>
      <c r="G12" s="974"/>
      <c r="H12" s="974"/>
      <c r="I12" s="974"/>
      <c r="J12" s="974"/>
      <c r="K12" s="975"/>
    </row>
    <row r="13" spans="1:11">
      <c r="A13" s="976"/>
      <c r="B13" s="974"/>
      <c r="C13" s="974"/>
      <c r="D13" s="974"/>
      <c r="E13" s="974"/>
      <c r="F13" s="974"/>
      <c r="G13" s="974"/>
      <c r="H13" s="974"/>
      <c r="I13" s="974"/>
      <c r="J13" s="974"/>
      <c r="K13" s="975"/>
    </row>
    <row r="14" spans="1:11">
      <c r="A14" s="976"/>
      <c r="B14" s="974"/>
      <c r="C14" s="974"/>
      <c r="D14" s="974"/>
      <c r="E14" s="974"/>
      <c r="F14" s="974"/>
      <c r="G14" s="974"/>
      <c r="H14" s="974"/>
      <c r="I14" s="974"/>
      <c r="J14" s="974"/>
      <c r="K14" s="975"/>
    </row>
    <row r="15" spans="1:11">
      <c r="A15" s="976"/>
      <c r="B15" s="974"/>
      <c r="C15" s="974"/>
      <c r="D15" s="974"/>
      <c r="E15" s="974"/>
      <c r="F15" s="974"/>
      <c r="G15" s="974"/>
      <c r="H15" s="974"/>
      <c r="I15" s="974"/>
      <c r="J15" s="974"/>
      <c r="K15" s="975"/>
    </row>
    <row r="16" spans="1:11">
      <c r="A16" s="976"/>
      <c r="B16" s="974"/>
      <c r="C16" s="974"/>
      <c r="D16" s="974"/>
      <c r="E16" s="974"/>
      <c r="F16" s="974"/>
      <c r="G16" s="974"/>
      <c r="H16" s="974"/>
      <c r="I16" s="974"/>
      <c r="J16" s="974"/>
      <c r="K16" s="975"/>
    </row>
    <row r="17" spans="1:11">
      <c r="A17" s="976"/>
      <c r="B17" s="974"/>
      <c r="C17" s="974"/>
      <c r="D17" s="974"/>
      <c r="E17" s="974"/>
      <c r="F17" s="974"/>
      <c r="G17" s="974"/>
      <c r="H17" s="974"/>
      <c r="I17" s="974"/>
      <c r="J17" s="974"/>
      <c r="K17" s="975"/>
    </row>
    <row r="18" spans="1:11">
      <c r="A18" s="976"/>
      <c r="B18" s="974"/>
      <c r="C18" s="974"/>
      <c r="D18" s="974"/>
      <c r="E18" s="974"/>
      <c r="F18" s="974"/>
      <c r="G18" s="974"/>
      <c r="H18" s="974"/>
      <c r="I18" s="974"/>
      <c r="J18" s="974"/>
      <c r="K18" s="975"/>
    </row>
    <row r="19" spans="1:11">
      <c r="A19" s="976"/>
      <c r="B19" s="974"/>
      <c r="C19" s="974"/>
      <c r="D19" s="974"/>
      <c r="E19" s="974"/>
      <c r="F19" s="974"/>
      <c r="G19" s="974"/>
      <c r="H19" s="974"/>
      <c r="I19" s="974"/>
      <c r="J19" s="974"/>
      <c r="K19" s="975"/>
    </row>
    <row r="20" spans="1:11">
      <c r="A20" s="976"/>
      <c r="B20" s="974"/>
      <c r="C20" s="974"/>
      <c r="D20" s="974"/>
      <c r="E20" s="974"/>
      <c r="F20" s="974"/>
      <c r="G20" s="974"/>
      <c r="H20" s="974"/>
      <c r="I20" s="974"/>
      <c r="J20" s="974"/>
      <c r="K20" s="975"/>
    </row>
    <row r="21" spans="1:11">
      <c r="A21" s="976"/>
      <c r="B21" s="974"/>
      <c r="C21" s="974"/>
      <c r="D21" s="974"/>
      <c r="E21" s="974"/>
      <c r="F21" s="974"/>
      <c r="G21" s="974"/>
      <c r="H21" s="974"/>
      <c r="I21" s="974"/>
      <c r="J21" s="974"/>
      <c r="K21" s="975"/>
    </row>
    <row r="22" spans="1:11">
      <c r="A22" s="976"/>
      <c r="B22" s="974"/>
      <c r="C22" s="974"/>
      <c r="D22" s="974"/>
      <c r="E22" s="974"/>
      <c r="F22" s="974"/>
      <c r="G22" s="974"/>
      <c r="H22" s="974"/>
      <c r="I22" s="974"/>
      <c r="J22" s="974"/>
      <c r="K22" s="975"/>
    </row>
    <row r="23" spans="1:11">
      <c r="A23" s="976"/>
      <c r="B23" s="974"/>
      <c r="C23" s="974"/>
      <c r="D23" s="974"/>
      <c r="E23" s="974"/>
      <c r="F23" s="974"/>
      <c r="G23" s="974"/>
      <c r="H23" s="974"/>
      <c r="I23" s="974"/>
      <c r="J23" s="974"/>
      <c r="K23" s="975"/>
    </row>
    <row r="24" spans="1:11">
      <c r="A24" s="976"/>
      <c r="B24" s="974"/>
      <c r="C24" s="974"/>
      <c r="D24" s="974"/>
      <c r="E24" s="974"/>
      <c r="F24" s="974"/>
      <c r="G24" s="974"/>
      <c r="H24" s="974"/>
      <c r="I24" s="974"/>
      <c r="J24" s="974"/>
      <c r="K24" s="975"/>
    </row>
    <row r="25" spans="1:11">
      <c r="A25" s="976"/>
      <c r="B25" s="974"/>
      <c r="C25" s="974"/>
      <c r="D25" s="974"/>
      <c r="E25" s="974"/>
      <c r="F25" s="974"/>
      <c r="G25" s="974"/>
      <c r="H25" s="974"/>
      <c r="I25" s="974"/>
      <c r="J25" s="974"/>
      <c r="K25" s="975"/>
    </row>
    <row r="26" spans="1:11">
      <c r="A26" s="976"/>
      <c r="B26" s="974"/>
      <c r="C26" s="974"/>
      <c r="D26" s="974"/>
      <c r="E26" s="974"/>
      <c r="F26" s="974"/>
      <c r="G26" s="974"/>
      <c r="H26" s="974"/>
      <c r="I26" s="974"/>
      <c r="J26" s="974"/>
      <c r="K26" s="975"/>
    </row>
    <row r="27" spans="1:11">
      <c r="A27" s="976"/>
      <c r="B27" s="974"/>
      <c r="C27" s="974"/>
      <c r="D27" s="974"/>
      <c r="E27" s="974"/>
      <c r="F27" s="974"/>
      <c r="G27" s="974"/>
      <c r="H27" s="974"/>
      <c r="I27" s="974"/>
      <c r="J27" s="974"/>
      <c r="K27" s="975"/>
    </row>
    <row r="28" spans="1:11">
      <c r="A28" s="976"/>
      <c r="B28" s="974"/>
      <c r="C28" s="974"/>
      <c r="D28" s="974"/>
      <c r="E28" s="974"/>
      <c r="F28" s="974"/>
      <c r="G28" s="974"/>
      <c r="H28" s="974"/>
      <c r="I28" s="974"/>
      <c r="J28" s="974"/>
      <c r="K28" s="975"/>
    </row>
    <row r="29" spans="1:11">
      <c r="A29" s="976"/>
      <c r="B29" s="974"/>
      <c r="C29" s="974"/>
      <c r="D29" s="974"/>
      <c r="E29" s="974"/>
      <c r="F29" s="974"/>
      <c r="G29" s="974"/>
      <c r="H29" s="974"/>
      <c r="I29" s="974"/>
      <c r="J29" s="974"/>
      <c r="K29" s="975"/>
    </row>
    <row r="30" spans="1:11">
      <c r="A30" s="976"/>
      <c r="B30" s="974"/>
      <c r="C30" s="974"/>
      <c r="D30" s="974"/>
      <c r="E30" s="974"/>
      <c r="F30" s="974"/>
      <c r="G30" s="974"/>
      <c r="H30" s="974"/>
      <c r="I30" s="974"/>
      <c r="J30" s="974"/>
      <c r="K30" s="975"/>
    </row>
    <row r="31" spans="1:11">
      <c r="A31" s="976"/>
      <c r="B31" s="974"/>
      <c r="C31" s="974"/>
      <c r="D31" s="974"/>
      <c r="E31" s="974"/>
      <c r="F31" s="974"/>
      <c r="G31" s="974"/>
      <c r="H31" s="974"/>
      <c r="I31" s="974"/>
      <c r="J31" s="974"/>
      <c r="K31" s="975"/>
    </row>
    <row r="32" spans="1:11">
      <c r="A32" s="976"/>
      <c r="B32" s="974"/>
      <c r="C32" s="974"/>
      <c r="D32" s="974"/>
      <c r="E32" s="974"/>
      <c r="F32" s="974"/>
      <c r="G32" s="974"/>
      <c r="H32" s="974"/>
      <c r="I32" s="974"/>
      <c r="J32" s="974"/>
      <c r="K32" s="975"/>
    </row>
    <row r="33" spans="1:11">
      <c r="A33" s="976"/>
      <c r="B33" s="974"/>
      <c r="C33" s="974"/>
      <c r="D33" s="974"/>
      <c r="E33" s="974"/>
      <c r="F33" s="974"/>
      <c r="G33" s="974"/>
      <c r="H33" s="974"/>
      <c r="I33" s="974"/>
      <c r="J33" s="974"/>
      <c r="K33" s="975"/>
    </row>
    <row r="34" spans="1:11">
      <c r="A34" s="976"/>
      <c r="B34" s="974"/>
      <c r="C34" s="974"/>
      <c r="D34" s="974"/>
      <c r="E34" s="974"/>
      <c r="F34" s="974"/>
      <c r="G34" s="974"/>
      <c r="H34" s="974"/>
      <c r="I34" s="974"/>
      <c r="J34" s="974"/>
      <c r="K34" s="975"/>
    </row>
    <row r="35" spans="1:11">
      <c r="A35" s="976"/>
      <c r="B35" s="974"/>
      <c r="C35" s="974"/>
      <c r="D35" s="974"/>
      <c r="E35" s="974"/>
      <c r="F35" s="974"/>
      <c r="G35" s="974"/>
      <c r="H35" s="974"/>
      <c r="I35" s="974"/>
      <c r="J35" s="974"/>
      <c r="K35" s="975"/>
    </row>
    <row r="36" spans="1:11">
      <c r="A36" s="976"/>
      <c r="B36" s="974"/>
      <c r="C36" s="974"/>
      <c r="D36" s="974"/>
      <c r="E36" s="974"/>
      <c r="F36" s="974"/>
      <c r="G36" s="974"/>
      <c r="H36" s="974"/>
      <c r="I36" s="974"/>
      <c r="J36" s="974"/>
      <c r="K36" s="975"/>
    </row>
    <row r="37" spans="1:11" ht="19.5" customHeight="1">
      <c r="A37" s="976"/>
      <c r="B37" s="974"/>
      <c r="C37" s="974"/>
      <c r="D37" s="974"/>
      <c r="E37" s="974"/>
      <c r="F37" s="974"/>
      <c r="G37" s="974"/>
      <c r="H37" s="974"/>
      <c r="I37" s="974"/>
      <c r="J37" s="974"/>
      <c r="K37" s="975"/>
    </row>
    <row r="38" spans="1:11">
      <c r="A38" s="976"/>
      <c r="B38" s="974"/>
      <c r="C38" s="974"/>
      <c r="D38" s="974"/>
      <c r="E38" s="974"/>
      <c r="F38" s="974"/>
      <c r="G38" s="974"/>
      <c r="H38" s="974"/>
      <c r="I38" s="974"/>
      <c r="J38" s="974"/>
      <c r="K38" s="975"/>
    </row>
    <row r="39" spans="1:11" ht="20.25" customHeight="1" thickBot="1">
      <c r="A39" s="976"/>
      <c r="B39" s="974"/>
      <c r="C39" s="974"/>
      <c r="D39" s="974"/>
      <c r="E39" s="974"/>
      <c r="F39" s="974"/>
      <c r="G39" s="974"/>
      <c r="H39" s="974"/>
      <c r="I39" s="974"/>
      <c r="J39" s="974"/>
      <c r="K39" s="975"/>
    </row>
    <row r="40" spans="1:11" ht="27" customHeight="1" thickBot="1">
      <c r="A40" s="171" t="s">
        <v>266</v>
      </c>
      <c r="B40" s="977" t="s">
        <v>267</v>
      </c>
      <c r="C40" s="977"/>
      <c r="D40" s="977" t="s">
        <v>268</v>
      </c>
      <c r="E40" s="977"/>
      <c r="F40" s="978" t="s">
        <v>269</v>
      </c>
      <c r="G40" s="977"/>
      <c r="H40" s="172" t="s">
        <v>270</v>
      </c>
      <c r="I40" s="977" t="s">
        <v>271</v>
      </c>
      <c r="J40" s="977"/>
      <c r="K40" s="173" t="s">
        <v>272</v>
      </c>
    </row>
    <row r="41" spans="1:11" ht="21.75" customHeight="1" thickBot="1">
      <c r="A41" s="979" t="s">
        <v>273</v>
      </c>
      <c r="B41" s="980"/>
      <c r="C41" s="980"/>
      <c r="D41" s="980"/>
      <c r="E41" s="980"/>
      <c r="F41" s="980"/>
      <c r="G41" s="980"/>
      <c r="H41" s="980"/>
      <c r="I41" s="980"/>
      <c r="J41" s="980"/>
      <c r="K41" s="981"/>
    </row>
    <row r="42" spans="1:11" ht="20.100000000000001" customHeight="1">
      <c r="A42" s="174">
        <v>1</v>
      </c>
      <c r="B42" s="982" t="s">
        <v>335</v>
      </c>
      <c r="C42" s="983" t="s">
        <v>332</v>
      </c>
      <c r="D42" s="984" t="s">
        <v>333</v>
      </c>
      <c r="E42" s="985" t="s">
        <v>333</v>
      </c>
      <c r="F42" s="986" t="s">
        <v>256</v>
      </c>
      <c r="G42" s="987"/>
      <c r="H42" s="175">
        <v>10</v>
      </c>
      <c r="I42" s="988" t="s">
        <v>239</v>
      </c>
      <c r="J42" s="988"/>
      <c r="K42" s="176"/>
    </row>
    <row r="43" spans="1:11" ht="20.100000000000001" customHeight="1">
      <c r="A43" s="177">
        <v>2</v>
      </c>
      <c r="B43" s="935" t="s">
        <v>331</v>
      </c>
      <c r="C43" s="936" t="s">
        <v>331</v>
      </c>
      <c r="D43" s="937" t="s">
        <v>334</v>
      </c>
      <c r="E43" s="938" t="s">
        <v>334</v>
      </c>
      <c r="F43" s="939" t="s">
        <v>256</v>
      </c>
      <c r="G43" s="939"/>
      <c r="H43" s="178">
        <v>10</v>
      </c>
      <c r="I43" s="934" t="s">
        <v>239</v>
      </c>
      <c r="J43" s="934"/>
      <c r="K43" s="179"/>
    </row>
    <row r="44" spans="1:11" ht="20.100000000000001" customHeight="1">
      <c r="A44" s="174">
        <v>3</v>
      </c>
      <c r="B44" s="937" t="s">
        <v>326</v>
      </c>
      <c r="C44" s="938" t="s">
        <v>326</v>
      </c>
      <c r="D44" s="937" t="s">
        <v>588</v>
      </c>
      <c r="E44" s="938"/>
      <c r="F44" s="939" t="s">
        <v>260</v>
      </c>
      <c r="G44" s="939"/>
      <c r="H44" s="178">
        <v>10</v>
      </c>
      <c r="I44" s="934" t="s">
        <v>239</v>
      </c>
      <c r="J44" s="934"/>
      <c r="K44" s="179"/>
    </row>
    <row r="45" spans="1:11" ht="20.100000000000001" customHeight="1">
      <c r="A45" s="177">
        <v>4</v>
      </c>
      <c r="B45" s="935" t="s">
        <v>326</v>
      </c>
      <c r="C45" s="936" t="s">
        <v>326</v>
      </c>
      <c r="D45" s="937" t="s">
        <v>590</v>
      </c>
      <c r="E45" s="938"/>
      <c r="F45" s="939" t="s">
        <v>260</v>
      </c>
      <c r="G45" s="939"/>
      <c r="H45" s="180">
        <v>10</v>
      </c>
      <c r="I45" s="934" t="s">
        <v>239</v>
      </c>
      <c r="J45" s="934"/>
      <c r="K45" s="179"/>
    </row>
    <row r="46" spans="1:11" ht="20.100000000000001" customHeight="1">
      <c r="A46" s="174">
        <v>5</v>
      </c>
      <c r="B46" s="935" t="s">
        <v>326</v>
      </c>
      <c r="C46" s="936" t="s">
        <v>326</v>
      </c>
      <c r="D46" s="937" t="s">
        <v>591</v>
      </c>
      <c r="E46" s="938"/>
      <c r="F46" s="939" t="s">
        <v>260</v>
      </c>
      <c r="G46" s="939"/>
      <c r="H46" s="180">
        <v>10</v>
      </c>
      <c r="I46" s="934" t="s">
        <v>239</v>
      </c>
      <c r="J46" s="934"/>
      <c r="K46" s="179"/>
    </row>
    <row r="47" spans="1:11" ht="20.100000000000001" customHeight="1">
      <c r="A47" s="177">
        <v>6</v>
      </c>
      <c r="B47" s="935" t="s">
        <v>326</v>
      </c>
      <c r="C47" s="936" t="s">
        <v>326</v>
      </c>
      <c r="D47" s="937" t="s">
        <v>589</v>
      </c>
      <c r="E47" s="938"/>
      <c r="F47" s="939" t="s">
        <v>260</v>
      </c>
      <c r="G47" s="939"/>
      <c r="H47" s="180">
        <v>10</v>
      </c>
      <c r="I47" s="934" t="s">
        <v>239</v>
      </c>
      <c r="J47" s="934"/>
      <c r="K47" s="179"/>
    </row>
    <row r="48" spans="1:11" ht="20.100000000000001" customHeight="1">
      <c r="A48" s="174">
        <v>7</v>
      </c>
      <c r="B48" s="935" t="s">
        <v>258</v>
      </c>
      <c r="C48" s="936"/>
      <c r="D48" s="937" t="s">
        <v>588</v>
      </c>
      <c r="E48" s="938"/>
      <c r="F48" s="939" t="s">
        <v>260</v>
      </c>
      <c r="G48" s="939"/>
      <c r="H48" s="180">
        <v>10</v>
      </c>
      <c r="I48" s="934" t="s">
        <v>239</v>
      </c>
      <c r="J48" s="934"/>
      <c r="K48" s="179"/>
    </row>
    <row r="49" spans="1:12" ht="20.100000000000001" customHeight="1">
      <c r="A49" s="177">
        <v>8</v>
      </c>
      <c r="B49" s="935" t="s">
        <v>258</v>
      </c>
      <c r="C49" s="936"/>
      <c r="D49" s="937" t="s">
        <v>527</v>
      </c>
      <c r="E49" s="938"/>
      <c r="F49" s="939" t="s">
        <v>260</v>
      </c>
      <c r="G49" s="939"/>
      <c r="H49" s="180">
        <v>10</v>
      </c>
      <c r="I49" s="934" t="s">
        <v>239</v>
      </c>
      <c r="J49" s="934"/>
      <c r="K49" s="179"/>
    </row>
    <row r="50" spans="1:12" ht="20.100000000000001" customHeight="1">
      <c r="A50" s="174">
        <v>9</v>
      </c>
      <c r="B50" s="935" t="s">
        <v>336</v>
      </c>
      <c r="C50" s="936"/>
      <c r="D50" s="937" t="s">
        <v>337</v>
      </c>
      <c r="E50" s="993"/>
      <c r="F50" s="993"/>
      <c r="G50" s="938"/>
      <c r="H50" s="180">
        <v>5</v>
      </c>
      <c r="I50" s="934" t="s">
        <v>239</v>
      </c>
      <c r="J50" s="934"/>
      <c r="K50" s="179"/>
    </row>
    <row r="51" spans="1:12" ht="22.5" customHeight="1" thickBot="1">
      <c r="A51" s="181"/>
      <c r="B51" s="989"/>
      <c r="C51" s="989"/>
      <c r="D51" s="989"/>
      <c r="E51" s="990"/>
      <c r="F51" s="991"/>
      <c r="G51" s="992"/>
      <c r="K51" s="182"/>
    </row>
    <row r="52" spans="1:12" ht="20.100000000000001" customHeight="1" thickBot="1">
      <c r="A52" s="979" t="s">
        <v>245</v>
      </c>
      <c r="B52" s="980"/>
      <c r="C52" s="980"/>
      <c r="D52" s="980"/>
      <c r="E52" s="980"/>
      <c r="F52" s="980"/>
      <c r="G52" s="980"/>
      <c r="H52" s="980"/>
      <c r="I52" s="980"/>
      <c r="J52" s="980"/>
      <c r="K52" s="981"/>
    </row>
    <row r="53" spans="1:12" ht="21.75" customHeight="1">
      <c r="A53" s="183">
        <v>1</v>
      </c>
      <c r="B53" s="994" t="s">
        <v>274</v>
      </c>
      <c r="C53" s="995"/>
      <c r="D53" s="995"/>
      <c r="E53" s="996"/>
      <c r="F53" s="997" t="s">
        <v>245</v>
      </c>
      <c r="G53" s="997"/>
      <c r="H53" s="184">
        <v>1</v>
      </c>
      <c r="I53" s="998" t="s">
        <v>275</v>
      </c>
      <c r="J53" s="998"/>
      <c r="K53" s="185"/>
    </row>
    <row r="54" spans="1:12" ht="22.5" customHeight="1">
      <c r="A54" s="186">
        <v>2</v>
      </c>
      <c r="B54" s="999" t="s">
        <v>276</v>
      </c>
      <c r="C54" s="1000"/>
      <c r="D54" s="1000"/>
      <c r="E54" s="1001"/>
      <c r="F54" s="934" t="s">
        <v>245</v>
      </c>
      <c r="G54" s="934"/>
      <c r="H54" s="187">
        <v>1</v>
      </c>
      <c r="I54" s="1002" t="s">
        <v>275</v>
      </c>
      <c r="J54" s="1002"/>
      <c r="K54" s="188"/>
    </row>
    <row r="55" spans="1:12" ht="24.95" customHeight="1">
      <c r="A55" s="186">
        <v>3</v>
      </c>
      <c r="B55" s="999" t="s">
        <v>277</v>
      </c>
      <c r="C55" s="1000"/>
      <c r="D55" s="1000"/>
      <c r="E55" s="1001"/>
      <c r="F55" s="934" t="s">
        <v>245</v>
      </c>
      <c r="G55" s="934"/>
      <c r="H55" s="187">
        <v>1</v>
      </c>
      <c r="I55" s="1002" t="s">
        <v>275</v>
      </c>
      <c r="J55" s="1002"/>
      <c r="K55" s="188"/>
    </row>
    <row r="56" spans="1:12" ht="25.5" customHeight="1" thickBot="1">
      <c r="A56" s="189">
        <v>4</v>
      </c>
      <c r="B56" s="1005" t="s">
        <v>327</v>
      </c>
      <c r="C56" s="1006"/>
      <c r="D56" s="1006"/>
      <c r="E56" s="1007"/>
      <c r="F56" s="988" t="s">
        <v>245</v>
      </c>
      <c r="G56" s="988"/>
      <c r="H56" s="187">
        <v>1</v>
      </c>
      <c r="I56" s="1002" t="s">
        <v>275</v>
      </c>
      <c r="J56" s="1002"/>
      <c r="K56" s="190"/>
      <c r="L56" s="191"/>
    </row>
    <row r="57" spans="1:12" ht="24.95" customHeight="1" thickBot="1">
      <c r="A57" s="979" t="s">
        <v>278</v>
      </c>
      <c r="B57" s="980"/>
      <c r="C57" s="980"/>
      <c r="D57" s="980"/>
      <c r="E57" s="980"/>
      <c r="F57" s="980"/>
      <c r="G57" s="980"/>
      <c r="H57" s="980"/>
      <c r="I57" s="980"/>
      <c r="J57" s="980"/>
      <c r="K57" s="981"/>
      <c r="L57" s="191"/>
    </row>
    <row r="58" spans="1:12" ht="25.5" customHeight="1" thickBot="1">
      <c r="A58" s="192">
        <v>1</v>
      </c>
      <c r="B58" s="994" t="s">
        <v>279</v>
      </c>
      <c r="C58" s="995"/>
      <c r="D58" s="995"/>
      <c r="E58" s="996"/>
      <c r="F58" s="1008"/>
      <c r="G58" s="1009"/>
      <c r="H58" s="193"/>
      <c r="I58" s="1010"/>
      <c r="J58" s="1010"/>
      <c r="K58" s="176"/>
      <c r="L58" s="191"/>
    </row>
    <row r="59" spans="1:12" ht="20.100000000000001" customHeight="1" thickBot="1">
      <c r="A59" s="979" t="s">
        <v>280</v>
      </c>
      <c r="B59" s="980"/>
      <c r="C59" s="980"/>
      <c r="D59" s="980"/>
      <c r="E59" s="980"/>
      <c r="F59" s="980"/>
      <c r="G59" s="980"/>
      <c r="H59" s="980"/>
      <c r="I59" s="980"/>
      <c r="J59" s="980"/>
      <c r="K59" s="981"/>
    </row>
    <row r="60" spans="1:12" ht="20.100000000000001" customHeight="1">
      <c r="A60" s="186">
        <v>1</v>
      </c>
      <c r="B60" s="1003" t="s">
        <v>55</v>
      </c>
      <c r="C60" s="1000"/>
      <c r="D60" s="1000"/>
      <c r="E60" s="1001"/>
      <c r="F60" s="935" t="s">
        <v>281</v>
      </c>
      <c r="G60" s="1004"/>
      <c r="H60" s="1004"/>
      <c r="I60" s="1004"/>
      <c r="J60" s="936"/>
      <c r="K60" s="194"/>
    </row>
    <row r="61" spans="1:12" s="195" customFormat="1" ht="15.75">
      <c r="A61" s="1011"/>
      <c r="B61" s="1012"/>
      <c r="C61" s="1012"/>
      <c r="D61" s="1012"/>
      <c r="E61" s="1013"/>
      <c r="F61" s="1013"/>
      <c r="G61" s="1013"/>
      <c r="H61" s="1013"/>
      <c r="I61" s="1014" t="s">
        <v>282</v>
      </c>
      <c r="J61" s="1014"/>
      <c r="K61" s="1015"/>
    </row>
    <row r="62" spans="1:12" s="195" customFormat="1" ht="15.75">
      <c r="A62" s="1011"/>
      <c r="B62" s="1012"/>
      <c r="C62" s="1012"/>
      <c r="D62" s="1012"/>
      <c r="E62" s="1013"/>
      <c r="F62" s="1013"/>
      <c r="G62" s="1013"/>
      <c r="H62" s="1013"/>
      <c r="I62" s="1014" t="s">
        <v>283</v>
      </c>
      <c r="J62" s="1014"/>
      <c r="K62" s="1015"/>
    </row>
    <row r="63" spans="1:12" s="195" customFormat="1" ht="15.75" customHeight="1" thickBot="1">
      <c r="A63" s="1016" t="s">
        <v>284</v>
      </c>
      <c r="B63" s="1017"/>
      <c r="C63" s="1017"/>
      <c r="D63" s="1017"/>
      <c r="E63" s="1017" t="s">
        <v>285</v>
      </c>
      <c r="F63" s="1017"/>
      <c r="G63" s="1017"/>
      <c r="H63" s="1017"/>
      <c r="I63" s="1018" t="s">
        <v>286</v>
      </c>
      <c r="J63" s="1018"/>
      <c r="K63" s="1019"/>
    </row>
  </sheetData>
  <mergeCells count="78">
    <mergeCell ref="I50:J50"/>
    <mergeCell ref="B48:C48"/>
    <mergeCell ref="D48:E48"/>
    <mergeCell ref="F48:G48"/>
    <mergeCell ref="I48:J48"/>
    <mergeCell ref="B49:C49"/>
    <mergeCell ref="D49:E49"/>
    <mergeCell ref="F49:G49"/>
    <mergeCell ref="I49:J49"/>
    <mergeCell ref="A61:D62"/>
    <mergeCell ref="E61:H62"/>
    <mergeCell ref="I61:K61"/>
    <mergeCell ref="I62:K62"/>
    <mergeCell ref="A63:D63"/>
    <mergeCell ref="E63:H63"/>
    <mergeCell ref="I63:K63"/>
    <mergeCell ref="B60:E60"/>
    <mergeCell ref="F60:J60"/>
    <mergeCell ref="B55:E55"/>
    <mergeCell ref="F55:G55"/>
    <mergeCell ref="I55:J55"/>
    <mergeCell ref="B56:E56"/>
    <mergeCell ref="F56:G56"/>
    <mergeCell ref="I56:J56"/>
    <mergeCell ref="A57:K57"/>
    <mergeCell ref="B58:E58"/>
    <mergeCell ref="F58:G58"/>
    <mergeCell ref="I58:J58"/>
    <mergeCell ref="A59:K59"/>
    <mergeCell ref="A52:K52"/>
    <mergeCell ref="B53:E53"/>
    <mergeCell ref="F53:G53"/>
    <mergeCell ref="I53:J53"/>
    <mergeCell ref="B54:E54"/>
    <mergeCell ref="F54:G54"/>
    <mergeCell ref="I54:J54"/>
    <mergeCell ref="B51:C51"/>
    <mergeCell ref="D51:E51"/>
    <mergeCell ref="F51:G51"/>
    <mergeCell ref="B44:C44"/>
    <mergeCell ref="D44:E44"/>
    <mergeCell ref="F44:G44"/>
    <mergeCell ref="B46:C46"/>
    <mergeCell ref="D46:E46"/>
    <mergeCell ref="F46:G46"/>
    <mergeCell ref="D50:G50"/>
    <mergeCell ref="B50:C50"/>
    <mergeCell ref="I44:J44"/>
    <mergeCell ref="B45:C45"/>
    <mergeCell ref="D45:E45"/>
    <mergeCell ref="F45:G45"/>
    <mergeCell ref="I45:J45"/>
    <mergeCell ref="B43:C43"/>
    <mergeCell ref="D43:E43"/>
    <mergeCell ref="F43:G43"/>
    <mergeCell ref="I43:J43"/>
    <mergeCell ref="A5:K5"/>
    <mergeCell ref="A6:K39"/>
    <mergeCell ref="B40:C40"/>
    <mergeCell ref="D40:E40"/>
    <mergeCell ref="F40:G40"/>
    <mergeCell ref="I40:J40"/>
    <mergeCell ref="A41:K41"/>
    <mergeCell ref="B42:C42"/>
    <mergeCell ref="D42:E42"/>
    <mergeCell ref="F42:G42"/>
    <mergeCell ref="I42:J42"/>
    <mergeCell ref="A4:K4"/>
    <mergeCell ref="A1:C3"/>
    <mergeCell ref="D1:G3"/>
    <mergeCell ref="H1:K1"/>
    <mergeCell ref="H2:K2"/>
    <mergeCell ref="H3:K3"/>
    <mergeCell ref="I46:J46"/>
    <mergeCell ref="B47:C47"/>
    <mergeCell ref="D47:E47"/>
    <mergeCell ref="F47:G47"/>
    <mergeCell ref="I47:J47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74" orientation="portrait" r:id="rId1"/>
  <drawing r:id="rId2"/>
  <legacyDrawing r:id="rId3"/>
  <oleObjects>
    <oleObject progId="AutoCAD.Drawing.16" shapeId="2049" r:id="rId4"/>
    <oleObject progId="AutoCAD.Drawing.16" shapeId="2050" r:id="rId5"/>
    <oleObject progId="AutoCAD.Drawing.16" shapeId="2051" r:id="rId6"/>
  </oleObjects>
</worksheet>
</file>

<file path=xl/worksheets/sheet8.xml><?xml version="1.0" encoding="utf-8"?>
<worksheet xmlns="http://schemas.openxmlformats.org/spreadsheetml/2006/main" xmlns:r="http://schemas.openxmlformats.org/officeDocument/2006/relationships">
  <dimension ref="A1:K59"/>
  <sheetViews>
    <sheetView view="pageBreakPreview" zoomScaleNormal="88" zoomScaleSheetLayoutView="100" workbookViewId="0">
      <selection activeCell="D52" sqref="D52"/>
    </sheetView>
  </sheetViews>
  <sheetFormatPr defaultRowHeight="15.75"/>
  <cols>
    <col min="1" max="1" width="14" style="287" customWidth="1"/>
    <col min="2" max="2" width="9.140625" style="287"/>
    <col min="3" max="3" width="12.5703125" style="287" customWidth="1"/>
    <col min="4" max="4" width="17.85546875" style="287" customWidth="1"/>
    <col min="5" max="5" width="10" style="287" customWidth="1"/>
    <col min="6" max="6" width="10.5703125" style="287" customWidth="1"/>
    <col min="7" max="7" width="20.5703125" style="287" customWidth="1"/>
    <col min="8" max="8" width="18.42578125" style="287" customWidth="1"/>
    <col min="9" max="9" width="10.28515625" style="287" customWidth="1"/>
    <col min="10" max="10" width="10.5703125" style="287" customWidth="1"/>
    <col min="11" max="11" width="19.7109375" style="287" customWidth="1"/>
    <col min="12" max="256" width="9.140625" style="287"/>
    <col min="257" max="257" width="14" style="287" customWidth="1"/>
    <col min="258" max="258" width="9.140625" style="287"/>
    <col min="259" max="259" width="12.5703125" style="287" customWidth="1"/>
    <col min="260" max="260" width="17.85546875" style="287" customWidth="1"/>
    <col min="261" max="261" width="10" style="287" customWidth="1"/>
    <col min="262" max="262" width="10.5703125" style="287" customWidth="1"/>
    <col min="263" max="263" width="20.5703125" style="287" customWidth="1"/>
    <col min="264" max="264" width="18.42578125" style="287" customWidth="1"/>
    <col min="265" max="265" width="10.28515625" style="287" customWidth="1"/>
    <col min="266" max="266" width="10.5703125" style="287" customWidth="1"/>
    <col min="267" max="267" width="19.7109375" style="287" customWidth="1"/>
    <col min="268" max="512" width="9.140625" style="287"/>
    <col min="513" max="513" width="14" style="287" customWidth="1"/>
    <col min="514" max="514" width="9.140625" style="287"/>
    <col min="515" max="515" width="12.5703125" style="287" customWidth="1"/>
    <col min="516" max="516" width="17.85546875" style="287" customWidth="1"/>
    <col min="517" max="517" width="10" style="287" customWidth="1"/>
    <col min="518" max="518" width="10.5703125" style="287" customWidth="1"/>
    <col min="519" max="519" width="20.5703125" style="287" customWidth="1"/>
    <col min="520" max="520" width="18.42578125" style="287" customWidth="1"/>
    <col min="521" max="521" width="10.28515625" style="287" customWidth="1"/>
    <col min="522" max="522" width="10.5703125" style="287" customWidth="1"/>
    <col min="523" max="523" width="19.7109375" style="287" customWidth="1"/>
    <col min="524" max="768" width="9.140625" style="287"/>
    <col min="769" max="769" width="14" style="287" customWidth="1"/>
    <col min="770" max="770" width="9.140625" style="287"/>
    <col min="771" max="771" width="12.5703125" style="287" customWidth="1"/>
    <col min="772" max="772" width="17.85546875" style="287" customWidth="1"/>
    <col min="773" max="773" width="10" style="287" customWidth="1"/>
    <col min="774" max="774" width="10.5703125" style="287" customWidth="1"/>
    <col min="775" max="775" width="20.5703125" style="287" customWidth="1"/>
    <col min="776" max="776" width="18.42578125" style="287" customWidth="1"/>
    <col min="777" max="777" width="10.28515625" style="287" customWidth="1"/>
    <col min="778" max="778" width="10.5703125" style="287" customWidth="1"/>
    <col min="779" max="779" width="19.7109375" style="287" customWidth="1"/>
    <col min="780" max="1024" width="9.140625" style="287"/>
    <col min="1025" max="1025" width="14" style="287" customWidth="1"/>
    <col min="1026" max="1026" width="9.140625" style="287"/>
    <col min="1027" max="1027" width="12.5703125" style="287" customWidth="1"/>
    <col min="1028" max="1028" width="17.85546875" style="287" customWidth="1"/>
    <col min="1029" max="1029" width="10" style="287" customWidth="1"/>
    <col min="1030" max="1030" width="10.5703125" style="287" customWidth="1"/>
    <col min="1031" max="1031" width="20.5703125" style="287" customWidth="1"/>
    <col min="1032" max="1032" width="18.42578125" style="287" customWidth="1"/>
    <col min="1033" max="1033" width="10.28515625" style="287" customWidth="1"/>
    <col min="1034" max="1034" width="10.5703125" style="287" customWidth="1"/>
    <col min="1035" max="1035" width="19.7109375" style="287" customWidth="1"/>
    <col min="1036" max="1280" width="9.140625" style="287"/>
    <col min="1281" max="1281" width="14" style="287" customWidth="1"/>
    <col min="1282" max="1282" width="9.140625" style="287"/>
    <col min="1283" max="1283" width="12.5703125" style="287" customWidth="1"/>
    <col min="1284" max="1284" width="17.85546875" style="287" customWidth="1"/>
    <col min="1285" max="1285" width="10" style="287" customWidth="1"/>
    <col min="1286" max="1286" width="10.5703125" style="287" customWidth="1"/>
    <col min="1287" max="1287" width="20.5703125" style="287" customWidth="1"/>
    <col min="1288" max="1288" width="18.42578125" style="287" customWidth="1"/>
    <col min="1289" max="1289" width="10.28515625" style="287" customWidth="1"/>
    <col min="1290" max="1290" width="10.5703125" style="287" customWidth="1"/>
    <col min="1291" max="1291" width="19.7109375" style="287" customWidth="1"/>
    <col min="1292" max="1536" width="9.140625" style="287"/>
    <col min="1537" max="1537" width="14" style="287" customWidth="1"/>
    <col min="1538" max="1538" width="9.140625" style="287"/>
    <col min="1539" max="1539" width="12.5703125" style="287" customWidth="1"/>
    <col min="1540" max="1540" width="17.85546875" style="287" customWidth="1"/>
    <col min="1541" max="1541" width="10" style="287" customWidth="1"/>
    <col min="1542" max="1542" width="10.5703125" style="287" customWidth="1"/>
    <col min="1543" max="1543" width="20.5703125" style="287" customWidth="1"/>
    <col min="1544" max="1544" width="18.42578125" style="287" customWidth="1"/>
    <col min="1545" max="1545" width="10.28515625" style="287" customWidth="1"/>
    <col min="1546" max="1546" width="10.5703125" style="287" customWidth="1"/>
    <col min="1547" max="1547" width="19.7109375" style="287" customWidth="1"/>
    <col min="1548" max="1792" width="9.140625" style="287"/>
    <col min="1793" max="1793" width="14" style="287" customWidth="1"/>
    <col min="1794" max="1794" width="9.140625" style="287"/>
    <col min="1795" max="1795" width="12.5703125" style="287" customWidth="1"/>
    <col min="1796" max="1796" width="17.85546875" style="287" customWidth="1"/>
    <col min="1797" max="1797" width="10" style="287" customWidth="1"/>
    <col min="1798" max="1798" width="10.5703125" style="287" customWidth="1"/>
    <col min="1799" max="1799" width="20.5703125" style="287" customWidth="1"/>
    <col min="1800" max="1800" width="18.42578125" style="287" customWidth="1"/>
    <col min="1801" max="1801" width="10.28515625" style="287" customWidth="1"/>
    <col min="1802" max="1802" width="10.5703125" style="287" customWidth="1"/>
    <col min="1803" max="1803" width="19.7109375" style="287" customWidth="1"/>
    <col min="1804" max="2048" width="9.140625" style="287"/>
    <col min="2049" max="2049" width="14" style="287" customWidth="1"/>
    <col min="2050" max="2050" width="9.140625" style="287"/>
    <col min="2051" max="2051" width="12.5703125" style="287" customWidth="1"/>
    <col min="2052" max="2052" width="17.85546875" style="287" customWidth="1"/>
    <col min="2053" max="2053" width="10" style="287" customWidth="1"/>
    <col min="2054" max="2054" width="10.5703125" style="287" customWidth="1"/>
    <col min="2055" max="2055" width="20.5703125" style="287" customWidth="1"/>
    <col min="2056" max="2056" width="18.42578125" style="287" customWidth="1"/>
    <col min="2057" max="2057" width="10.28515625" style="287" customWidth="1"/>
    <col min="2058" max="2058" width="10.5703125" style="287" customWidth="1"/>
    <col min="2059" max="2059" width="19.7109375" style="287" customWidth="1"/>
    <col min="2060" max="2304" width="9.140625" style="287"/>
    <col min="2305" max="2305" width="14" style="287" customWidth="1"/>
    <col min="2306" max="2306" width="9.140625" style="287"/>
    <col min="2307" max="2307" width="12.5703125" style="287" customWidth="1"/>
    <col min="2308" max="2308" width="17.85546875" style="287" customWidth="1"/>
    <col min="2309" max="2309" width="10" style="287" customWidth="1"/>
    <col min="2310" max="2310" width="10.5703125" style="287" customWidth="1"/>
    <col min="2311" max="2311" width="20.5703125" style="287" customWidth="1"/>
    <col min="2312" max="2312" width="18.42578125" style="287" customWidth="1"/>
    <col min="2313" max="2313" width="10.28515625" style="287" customWidth="1"/>
    <col min="2314" max="2314" width="10.5703125" style="287" customWidth="1"/>
    <col min="2315" max="2315" width="19.7109375" style="287" customWidth="1"/>
    <col min="2316" max="2560" width="9.140625" style="287"/>
    <col min="2561" max="2561" width="14" style="287" customWidth="1"/>
    <col min="2562" max="2562" width="9.140625" style="287"/>
    <col min="2563" max="2563" width="12.5703125" style="287" customWidth="1"/>
    <col min="2564" max="2564" width="17.85546875" style="287" customWidth="1"/>
    <col min="2565" max="2565" width="10" style="287" customWidth="1"/>
    <col min="2566" max="2566" width="10.5703125" style="287" customWidth="1"/>
    <col min="2567" max="2567" width="20.5703125" style="287" customWidth="1"/>
    <col min="2568" max="2568" width="18.42578125" style="287" customWidth="1"/>
    <col min="2569" max="2569" width="10.28515625" style="287" customWidth="1"/>
    <col min="2570" max="2570" width="10.5703125" style="287" customWidth="1"/>
    <col min="2571" max="2571" width="19.7109375" style="287" customWidth="1"/>
    <col min="2572" max="2816" width="9.140625" style="287"/>
    <col min="2817" max="2817" width="14" style="287" customWidth="1"/>
    <col min="2818" max="2818" width="9.140625" style="287"/>
    <col min="2819" max="2819" width="12.5703125" style="287" customWidth="1"/>
    <col min="2820" max="2820" width="17.85546875" style="287" customWidth="1"/>
    <col min="2821" max="2821" width="10" style="287" customWidth="1"/>
    <col min="2822" max="2822" width="10.5703125" style="287" customWidth="1"/>
    <col min="2823" max="2823" width="20.5703125" style="287" customWidth="1"/>
    <col min="2824" max="2824" width="18.42578125" style="287" customWidth="1"/>
    <col min="2825" max="2825" width="10.28515625" style="287" customWidth="1"/>
    <col min="2826" max="2826" width="10.5703125" style="287" customWidth="1"/>
    <col min="2827" max="2827" width="19.7109375" style="287" customWidth="1"/>
    <col min="2828" max="3072" width="9.140625" style="287"/>
    <col min="3073" max="3073" width="14" style="287" customWidth="1"/>
    <col min="3074" max="3074" width="9.140625" style="287"/>
    <col min="3075" max="3075" width="12.5703125" style="287" customWidth="1"/>
    <col min="3076" max="3076" width="17.85546875" style="287" customWidth="1"/>
    <col min="3077" max="3077" width="10" style="287" customWidth="1"/>
    <col min="3078" max="3078" width="10.5703125" style="287" customWidth="1"/>
    <col min="3079" max="3079" width="20.5703125" style="287" customWidth="1"/>
    <col min="3080" max="3080" width="18.42578125" style="287" customWidth="1"/>
    <col min="3081" max="3081" width="10.28515625" style="287" customWidth="1"/>
    <col min="3082" max="3082" width="10.5703125" style="287" customWidth="1"/>
    <col min="3083" max="3083" width="19.7109375" style="287" customWidth="1"/>
    <col min="3084" max="3328" width="9.140625" style="287"/>
    <col min="3329" max="3329" width="14" style="287" customWidth="1"/>
    <col min="3330" max="3330" width="9.140625" style="287"/>
    <col min="3331" max="3331" width="12.5703125" style="287" customWidth="1"/>
    <col min="3332" max="3332" width="17.85546875" style="287" customWidth="1"/>
    <col min="3333" max="3333" width="10" style="287" customWidth="1"/>
    <col min="3334" max="3334" width="10.5703125" style="287" customWidth="1"/>
    <col min="3335" max="3335" width="20.5703125" style="287" customWidth="1"/>
    <col min="3336" max="3336" width="18.42578125" style="287" customWidth="1"/>
    <col min="3337" max="3337" width="10.28515625" style="287" customWidth="1"/>
    <col min="3338" max="3338" width="10.5703125" style="287" customWidth="1"/>
    <col min="3339" max="3339" width="19.7109375" style="287" customWidth="1"/>
    <col min="3340" max="3584" width="9.140625" style="287"/>
    <col min="3585" max="3585" width="14" style="287" customWidth="1"/>
    <col min="3586" max="3586" width="9.140625" style="287"/>
    <col min="3587" max="3587" width="12.5703125" style="287" customWidth="1"/>
    <col min="3588" max="3588" width="17.85546875" style="287" customWidth="1"/>
    <col min="3589" max="3589" width="10" style="287" customWidth="1"/>
    <col min="3590" max="3590" width="10.5703125" style="287" customWidth="1"/>
    <col min="3591" max="3591" width="20.5703125" style="287" customWidth="1"/>
    <col min="3592" max="3592" width="18.42578125" style="287" customWidth="1"/>
    <col min="3593" max="3593" width="10.28515625" style="287" customWidth="1"/>
    <col min="3594" max="3594" width="10.5703125" style="287" customWidth="1"/>
    <col min="3595" max="3595" width="19.7109375" style="287" customWidth="1"/>
    <col min="3596" max="3840" width="9.140625" style="287"/>
    <col min="3841" max="3841" width="14" style="287" customWidth="1"/>
    <col min="3842" max="3842" width="9.140625" style="287"/>
    <col min="3843" max="3843" width="12.5703125" style="287" customWidth="1"/>
    <col min="3844" max="3844" width="17.85546875" style="287" customWidth="1"/>
    <col min="3845" max="3845" width="10" style="287" customWidth="1"/>
    <col min="3846" max="3846" width="10.5703125" style="287" customWidth="1"/>
    <col min="3847" max="3847" width="20.5703125" style="287" customWidth="1"/>
    <col min="3848" max="3848" width="18.42578125" style="287" customWidth="1"/>
    <col min="3849" max="3849" width="10.28515625" style="287" customWidth="1"/>
    <col min="3850" max="3850" width="10.5703125" style="287" customWidth="1"/>
    <col min="3851" max="3851" width="19.7109375" style="287" customWidth="1"/>
    <col min="3852" max="4096" width="9.140625" style="287"/>
    <col min="4097" max="4097" width="14" style="287" customWidth="1"/>
    <col min="4098" max="4098" width="9.140625" style="287"/>
    <col min="4099" max="4099" width="12.5703125" style="287" customWidth="1"/>
    <col min="4100" max="4100" width="17.85546875" style="287" customWidth="1"/>
    <col min="4101" max="4101" width="10" style="287" customWidth="1"/>
    <col min="4102" max="4102" width="10.5703125" style="287" customWidth="1"/>
    <col min="4103" max="4103" width="20.5703125" style="287" customWidth="1"/>
    <col min="4104" max="4104" width="18.42578125" style="287" customWidth="1"/>
    <col min="4105" max="4105" width="10.28515625" style="287" customWidth="1"/>
    <col min="4106" max="4106" width="10.5703125" style="287" customWidth="1"/>
    <col min="4107" max="4107" width="19.7109375" style="287" customWidth="1"/>
    <col min="4108" max="4352" width="9.140625" style="287"/>
    <col min="4353" max="4353" width="14" style="287" customWidth="1"/>
    <col min="4354" max="4354" width="9.140625" style="287"/>
    <col min="4355" max="4355" width="12.5703125" style="287" customWidth="1"/>
    <col min="4356" max="4356" width="17.85546875" style="287" customWidth="1"/>
    <col min="4357" max="4357" width="10" style="287" customWidth="1"/>
    <col min="4358" max="4358" width="10.5703125" style="287" customWidth="1"/>
    <col min="4359" max="4359" width="20.5703125" style="287" customWidth="1"/>
    <col min="4360" max="4360" width="18.42578125" style="287" customWidth="1"/>
    <col min="4361" max="4361" width="10.28515625" style="287" customWidth="1"/>
    <col min="4362" max="4362" width="10.5703125" style="287" customWidth="1"/>
    <col min="4363" max="4363" width="19.7109375" style="287" customWidth="1"/>
    <col min="4364" max="4608" width="9.140625" style="287"/>
    <col min="4609" max="4609" width="14" style="287" customWidth="1"/>
    <col min="4610" max="4610" width="9.140625" style="287"/>
    <col min="4611" max="4611" width="12.5703125" style="287" customWidth="1"/>
    <col min="4612" max="4612" width="17.85546875" style="287" customWidth="1"/>
    <col min="4613" max="4613" width="10" style="287" customWidth="1"/>
    <col min="4614" max="4614" width="10.5703125" style="287" customWidth="1"/>
    <col min="4615" max="4615" width="20.5703125" style="287" customWidth="1"/>
    <col min="4616" max="4616" width="18.42578125" style="287" customWidth="1"/>
    <col min="4617" max="4617" width="10.28515625" style="287" customWidth="1"/>
    <col min="4618" max="4618" width="10.5703125" style="287" customWidth="1"/>
    <col min="4619" max="4619" width="19.7109375" style="287" customWidth="1"/>
    <col min="4620" max="4864" width="9.140625" style="287"/>
    <col min="4865" max="4865" width="14" style="287" customWidth="1"/>
    <col min="4866" max="4866" width="9.140625" style="287"/>
    <col min="4867" max="4867" width="12.5703125" style="287" customWidth="1"/>
    <col min="4868" max="4868" width="17.85546875" style="287" customWidth="1"/>
    <col min="4869" max="4869" width="10" style="287" customWidth="1"/>
    <col min="4870" max="4870" width="10.5703125" style="287" customWidth="1"/>
    <col min="4871" max="4871" width="20.5703125" style="287" customWidth="1"/>
    <col min="4872" max="4872" width="18.42578125" style="287" customWidth="1"/>
    <col min="4873" max="4873" width="10.28515625" style="287" customWidth="1"/>
    <col min="4874" max="4874" width="10.5703125" style="287" customWidth="1"/>
    <col min="4875" max="4875" width="19.7109375" style="287" customWidth="1"/>
    <col min="4876" max="5120" width="9.140625" style="287"/>
    <col min="5121" max="5121" width="14" style="287" customWidth="1"/>
    <col min="5122" max="5122" width="9.140625" style="287"/>
    <col min="5123" max="5123" width="12.5703125" style="287" customWidth="1"/>
    <col min="5124" max="5124" width="17.85546875" style="287" customWidth="1"/>
    <col min="5125" max="5125" width="10" style="287" customWidth="1"/>
    <col min="5126" max="5126" width="10.5703125" style="287" customWidth="1"/>
    <col min="5127" max="5127" width="20.5703125" style="287" customWidth="1"/>
    <col min="5128" max="5128" width="18.42578125" style="287" customWidth="1"/>
    <col min="5129" max="5129" width="10.28515625" style="287" customWidth="1"/>
    <col min="5130" max="5130" width="10.5703125" style="287" customWidth="1"/>
    <col min="5131" max="5131" width="19.7109375" style="287" customWidth="1"/>
    <col min="5132" max="5376" width="9.140625" style="287"/>
    <col min="5377" max="5377" width="14" style="287" customWidth="1"/>
    <col min="5378" max="5378" width="9.140625" style="287"/>
    <col min="5379" max="5379" width="12.5703125" style="287" customWidth="1"/>
    <col min="5380" max="5380" width="17.85546875" style="287" customWidth="1"/>
    <col min="5381" max="5381" width="10" style="287" customWidth="1"/>
    <col min="5382" max="5382" width="10.5703125" style="287" customWidth="1"/>
    <col min="5383" max="5383" width="20.5703125" style="287" customWidth="1"/>
    <col min="5384" max="5384" width="18.42578125" style="287" customWidth="1"/>
    <col min="5385" max="5385" width="10.28515625" style="287" customWidth="1"/>
    <col min="5386" max="5386" width="10.5703125" style="287" customWidth="1"/>
    <col min="5387" max="5387" width="19.7109375" style="287" customWidth="1"/>
    <col min="5388" max="5632" width="9.140625" style="287"/>
    <col min="5633" max="5633" width="14" style="287" customWidth="1"/>
    <col min="5634" max="5634" width="9.140625" style="287"/>
    <col min="5635" max="5635" width="12.5703125" style="287" customWidth="1"/>
    <col min="5636" max="5636" width="17.85546875" style="287" customWidth="1"/>
    <col min="5637" max="5637" width="10" style="287" customWidth="1"/>
    <col min="5638" max="5638" width="10.5703125" style="287" customWidth="1"/>
    <col min="5639" max="5639" width="20.5703125" style="287" customWidth="1"/>
    <col min="5640" max="5640" width="18.42578125" style="287" customWidth="1"/>
    <col min="5641" max="5641" width="10.28515625" style="287" customWidth="1"/>
    <col min="5642" max="5642" width="10.5703125" style="287" customWidth="1"/>
    <col min="5643" max="5643" width="19.7109375" style="287" customWidth="1"/>
    <col min="5644" max="5888" width="9.140625" style="287"/>
    <col min="5889" max="5889" width="14" style="287" customWidth="1"/>
    <col min="5890" max="5890" width="9.140625" style="287"/>
    <col min="5891" max="5891" width="12.5703125" style="287" customWidth="1"/>
    <col min="5892" max="5892" width="17.85546875" style="287" customWidth="1"/>
    <col min="5893" max="5893" width="10" style="287" customWidth="1"/>
    <col min="5894" max="5894" width="10.5703125" style="287" customWidth="1"/>
    <col min="5895" max="5895" width="20.5703125" style="287" customWidth="1"/>
    <col min="5896" max="5896" width="18.42578125" style="287" customWidth="1"/>
    <col min="5897" max="5897" width="10.28515625" style="287" customWidth="1"/>
    <col min="5898" max="5898" width="10.5703125" style="287" customWidth="1"/>
    <col min="5899" max="5899" width="19.7109375" style="287" customWidth="1"/>
    <col min="5900" max="6144" width="9.140625" style="287"/>
    <col min="6145" max="6145" width="14" style="287" customWidth="1"/>
    <col min="6146" max="6146" width="9.140625" style="287"/>
    <col min="6147" max="6147" width="12.5703125" style="287" customWidth="1"/>
    <col min="6148" max="6148" width="17.85546875" style="287" customWidth="1"/>
    <col min="6149" max="6149" width="10" style="287" customWidth="1"/>
    <col min="6150" max="6150" width="10.5703125" style="287" customWidth="1"/>
    <col min="6151" max="6151" width="20.5703125" style="287" customWidth="1"/>
    <col min="6152" max="6152" width="18.42578125" style="287" customWidth="1"/>
    <col min="6153" max="6153" width="10.28515625" style="287" customWidth="1"/>
    <col min="6154" max="6154" width="10.5703125" style="287" customWidth="1"/>
    <col min="6155" max="6155" width="19.7109375" style="287" customWidth="1"/>
    <col min="6156" max="6400" width="9.140625" style="287"/>
    <col min="6401" max="6401" width="14" style="287" customWidth="1"/>
    <col min="6402" max="6402" width="9.140625" style="287"/>
    <col min="6403" max="6403" width="12.5703125" style="287" customWidth="1"/>
    <col min="6404" max="6404" width="17.85546875" style="287" customWidth="1"/>
    <col min="6405" max="6405" width="10" style="287" customWidth="1"/>
    <col min="6406" max="6406" width="10.5703125" style="287" customWidth="1"/>
    <col min="6407" max="6407" width="20.5703125" style="287" customWidth="1"/>
    <col min="6408" max="6408" width="18.42578125" style="287" customWidth="1"/>
    <col min="6409" max="6409" width="10.28515625" style="287" customWidth="1"/>
    <col min="6410" max="6410" width="10.5703125" style="287" customWidth="1"/>
    <col min="6411" max="6411" width="19.7109375" style="287" customWidth="1"/>
    <col min="6412" max="6656" width="9.140625" style="287"/>
    <col min="6657" max="6657" width="14" style="287" customWidth="1"/>
    <col min="6658" max="6658" width="9.140625" style="287"/>
    <col min="6659" max="6659" width="12.5703125" style="287" customWidth="1"/>
    <col min="6660" max="6660" width="17.85546875" style="287" customWidth="1"/>
    <col min="6661" max="6661" width="10" style="287" customWidth="1"/>
    <col min="6662" max="6662" width="10.5703125" style="287" customWidth="1"/>
    <col min="6663" max="6663" width="20.5703125" style="287" customWidth="1"/>
    <col min="6664" max="6664" width="18.42578125" style="287" customWidth="1"/>
    <col min="6665" max="6665" width="10.28515625" style="287" customWidth="1"/>
    <col min="6666" max="6666" width="10.5703125" style="287" customWidth="1"/>
    <col min="6667" max="6667" width="19.7109375" style="287" customWidth="1"/>
    <col min="6668" max="6912" width="9.140625" style="287"/>
    <col min="6913" max="6913" width="14" style="287" customWidth="1"/>
    <col min="6914" max="6914" width="9.140625" style="287"/>
    <col min="6915" max="6915" width="12.5703125" style="287" customWidth="1"/>
    <col min="6916" max="6916" width="17.85546875" style="287" customWidth="1"/>
    <col min="6917" max="6917" width="10" style="287" customWidth="1"/>
    <col min="6918" max="6918" width="10.5703125" style="287" customWidth="1"/>
    <col min="6919" max="6919" width="20.5703125" style="287" customWidth="1"/>
    <col min="6920" max="6920" width="18.42578125" style="287" customWidth="1"/>
    <col min="6921" max="6921" width="10.28515625" style="287" customWidth="1"/>
    <col min="6922" max="6922" width="10.5703125" style="287" customWidth="1"/>
    <col min="6923" max="6923" width="19.7109375" style="287" customWidth="1"/>
    <col min="6924" max="7168" width="9.140625" style="287"/>
    <col min="7169" max="7169" width="14" style="287" customWidth="1"/>
    <col min="7170" max="7170" width="9.140625" style="287"/>
    <col min="7171" max="7171" width="12.5703125" style="287" customWidth="1"/>
    <col min="7172" max="7172" width="17.85546875" style="287" customWidth="1"/>
    <col min="7173" max="7173" width="10" style="287" customWidth="1"/>
    <col min="7174" max="7174" width="10.5703125" style="287" customWidth="1"/>
    <col min="7175" max="7175" width="20.5703125" style="287" customWidth="1"/>
    <col min="7176" max="7176" width="18.42578125" style="287" customWidth="1"/>
    <col min="7177" max="7177" width="10.28515625" style="287" customWidth="1"/>
    <col min="7178" max="7178" width="10.5703125" style="287" customWidth="1"/>
    <col min="7179" max="7179" width="19.7109375" style="287" customWidth="1"/>
    <col min="7180" max="7424" width="9.140625" style="287"/>
    <col min="7425" max="7425" width="14" style="287" customWidth="1"/>
    <col min="7426" max="7426" width="9.140625" style="287"/>
    <col min="7427" max="7427" width="12.5703125" style="287" customWidth="1"/>
    <col min="7428" max="7428" width="17.85546875" style="287" customWidth="1"/>
    <col min="7429" max="7429" width="10" style="287" customWidth="1"/>
    <col min="7430" max="7430" width="10.5703125" style="287" customWidth="1"/>
    <col min="7431" max="7431" width="20.5703125" style="287" customWidth="1"/>
    <col min="7432" max="7432" width="18.42578125" style="287" customWidth="1"/>
    <col min="7433" max="7433" width="10.28515625" style="287" customWidth="1"/>
    <col min="7434" max="7434" width="10.5703125" style="287" customWidth="1"/>
    <col min="7435" max="7435" width="19.7109375" style="287" customWidth="1"/>
    <col min="7436" max="7680" width="9.140625" style="287"/>
    <col min="7681" max="7681" width="14" style="287" customWidth="1"/>
    <col min="7682" max="7682" width="9.140625" style="287"/>
    <col min="7683" max="7683" width="12.5703125" style="287" customWidth="1"/>
    <col min="7684" max="7684" width="17.85546875" style="287" customWidth="1"/>
    <col min="7685" max="7685" width="10" style="287" customWidth="1"/>
    <col min="7686" max="7686" width="10.5703125" style="287" customWidth="1"/>
    <col min="7687" max="7687" width="20.5703125" style="287" customWidth="1"/>
    <col min="7688" max="7688" width="18.42578125" style="287" customWidth="1"/>
    <col min="7689" max="7689" width="10.28515625" style="287" customWidth="1"/>
    <col min="7690" max="7690" width="10.5703125" style="287" customWidth="1"/>
    <col min="7691" max="7691" width="19.7109375" style="287" customWidth="1"/>
    <col min="7692" max="7936" width="9.140625" style="287"/>
    <col min="7937" max="7937" width="14" style="287" customWidth="1"/>
    <col min="7938" max="7938" width="9.140625" style="287"/>
    <col min="7939" max="7939" width="12.5703125" style="287" customWidth="1"/>
    <col min="7940" max="7940" width="17.85546875" style="287" customWidth="1"/>
    <col min="7941" max="7941" width="10" style="287" customWidth="1"/>
    <col min="7942" max="7942" width="10.5703125" style="287" customWidth="1"/>
    <col min="7943" max="7943" width="20.5703125" style="287" customWidth="1"/>
    <col min="7944" max="7944" width="18.42578125" style="287" customWidth="1"/>
    <col min="7945" max="7945" width="10.28515625" style="287" customWidth="1"/>
    <col min="7946" max="7946" width="10.5703125" style="287" customWidth="1"/>
    <col min="7947" max="7947" width="19.7109375" style="287" customWidth="1"/>
    <col min="7948" max="8192" width="9.140625" style="287"/>
    <col min="8193" max="8193" width="14" style="287" customWidth="1"/>
    <col min="8194" max="8194" width="9.140625" style="287"/>
    <col min="8195" max="8195" width="12.5703125" style="287" customWidth="1"/>
    <col min="8196" max="8196" width="17.85546875" style="287" customWidth="1"/>
    <col min="8197" max="8197" width="10" style="287" customWidth="1"/>
    <col min="8198" max="8198" width="10.5703125" style="287" customWidth="1"/>
    <col min="8199" max="8199" width="20.5703125" style="287" customWidth="1"/>
    <col min="8200" max="8200" width="18.42578125" style="287" customWidth="1"/>
    <col min="8201" max="8201" width="10.28515625" style="287" customWidth="1"/>
    <col min="8202" max="8202" width="10.5703125" style="287" customWidth="1"/>
    <col min="8203" max="8203" width="19.7109375" style="287" customWidth="1"/>
    <col min="8204" max="8448" width="9.140625" style="287"/>
    <col min="8449" max="8449" width="14" style="287" customWidth="1"/>
    <col min="8450" max="8450" width="9.140625" style="287"/>
    <col min="8451" max="8451" width="12.5703125" style="287" customWidth="1"/>
    <col min="8452" max="8452" width="17.85546875" style="287" customWidth="1"/>
    <col min="8453" max="8453" width="10" style="287" customWidth="1"/>
    <col min="8454" max="8454" width="10.5703125" style="287" customWidth="1"/>
    <col min="8455" max="8455" width="20.5703125" style="287" customWidth="1"/>
    <col min="8456" max="8456" width="18.42578125" style="287" customWidth="1"/>
    <col min="8457" max="8457" width="10.28515625" style="287" customWidth="1"/>
    <col min="8458" max="8458" width="10.5703125" style="287" customWidth="1"/>
    <col min="8459" max="8459" width="19.7109375" style="287" customWidth="1"/>
    <col min="8460" max="8704" width="9.140625" style="287"/>
    <col min="8705" max="8705" width="14" style="287" customWidth="1"/>
    <col min="8706" max="8706" width="9.140625" style="287"/>
    <col min="8707" max="8707" width="12.5703125" style="287" customWidth="1"/>
    <col min="8708" max="8708" width="17.85546875" style="287" customWidth="1"/>
    <col min="8709" max="8709" width="10" style="287" customWidth="1"/>
    <col min="8710" max="8710" width="10.5703125" style="287" customWidth="1"/>
    <col min="8711" max="8711" width="20.5703125" style="287" customWidth="1"/>
    <col min="8712" max="8712" width="18.42578125" style="287" customWidth="1"/>
    <col min="8713" max="8713" width="10.28515625" style="287" customWidth="1"/>
    <col min="8714" max="8714" width="10.5703125" style="287" customWidth="1"/>
    <col min="8715" max="8715" width="19.7109375" style="287" customWidth="1"/>
    <col min="8716" max="8960" width="9.140625" style="287"/>
    <col min="8961" max="8961" width="14" style="287" customWidth="1"/>
    <col min="8962" max="8962" width="9.140625" style="287"/>
    <col min="8963" max="8963" width="12.5703125" style="287" customWidth="1"/>
    <col min="8964" max="8964" width="17.85546875" style="287" customWidth="1"/>
    <col min="8965" max="8965" width="10" style="287" customWidth="1"/>
    <col min="8966" max="8966" width="10.5703125" style="287" customWidth="1"/>
    <col min="8967" max="8967" width="20.5703125" style="287" customWidth="1"/>
    <col min="8968" max="8968" width="18.42578125" style="287" customWidth="1"/>
    <col min="8969" max="8969" width="10.28515625" style="287" customWidth="1"/>
    <col min="8970" max="8970" width="10.5703125" style="287" customWidth="1"/>
    <col min="8971" max="8971" width="19.7109375" style="287" customWidth="1"/>
    <col min="8972" max="9216" width="9.140625" style="287"/>
    <col min="9217" max="9217" width="14" style="287" customWidth="1"/>
    <col min="9218" max="9218" width="9.140625" style="287"/>
    <col min="9219" max="9219" width="12.5703125" style="287" customWidth="1"/>
    <col min="9220" max="9220" width="17.85546875" style="287" customWidth="1"/>
    <col min="9221" max="9221" width="10" style="287" customWidth="1"/>
    <col min="9222" max="9222" width="10.5703125" style="287" customWidth="1"/>
    <col min="9223" max="9223" width="20.5703125" style="287" customWidth="1"/>
    <col min="9224" max="9224" width="18.42578125" style="287" customWidth="1"/>
    <col min="9225" max="9225" width="10.28515625" style="287" customWidth="1"/>
    <col min="9226" max="9226" width="10.5703125" style="287" customWidth="1"/>
    <col min="9227" max="9227" width="19.7109375" style="287" customWidth="1"/>
    <col min="9228" max="9472" width="9.140625" style="287"/>
    <col min="9473" max="9473" width="14" style="287" customWidth="1"/>
    <col min="9474" max="9474" width="9.140625" style="287"/>
    <col min="9475" max="9475" width="12.5703125" style="287" customWidth="1"/>
    <col min="9476" max="9476" width="17.85546875" style="287" customWidth="1"/>
    <col min="9477" max="9477" width="10" style="287" customWidth="1"/>
    <col min="9478" max="9478" width="10.5703125" style="287" customWidth="1"/>
    <col min="9479" max="9479" width="20.5703125" style="287" customWidth="1"/>
    <col min="9480" max="9480" width="18.42578125" style="287" customWidth="1"/>
    <col min="9481" max="9481" width="10.28515625" style="287" customWidth="1"/>
    <col min="9482" max="9482" width="10.5703125" style="287" customWidth="1"/>
    <col min="9483" max="9483" width="19.7109375" style="287" customWidth="1"/>
    <col min="9484" max="9728" width="9.140625" style="287"/>
    <col min="9729" max="9729" width="14" style="287" customWidth="1"/>
    <col min="9730" max="9730" width="9.140625" style="287"/>
    <col min="9731" max="9731" width="12.5703125" style="287" customWidth="1"/>
    <col min="9732" max="9732" width="17.85546875" style="287" customWidth="1"/>
    <col min="9733" max="9733" width="10" style="287" customWidth="1"/>
    <col min="9734" max="9734" width="10.5703125" style="287" customWidth="1"/>
    <col min="9735" max="9735" width="20.5703125" style="287" customWidth="1"/>
    <col min="9736" max="9736" width="18.42578125" style="287" customWidth="1"/>
    <col min="9737" max="9737" width="10.28515625" style="287" customWidth="1"/>
    <col min="9738" max="9738" width="10.5703125" style="287" customWidth="1"/>
    <col min="9739" max="9739" width="19.7109375" style="287" customWidth="1"/>
    <col min="9740" max="9984" width="9.140625" style="287"/>
    <col min="9985" max="9985" width="14" style="287" customWidth="1"/>
    <col min="9986" max="9986" width="9.140625" style="287"/>
    <col min="9987" max="9987" width="12.5703125" style="287" customWidth="1"/>
    <col min="9988" max="9988" width="17.85546875" style="287" customWidth="1"/>
    <col min="9989" max="9989" width="10" style="287" customWidth="1"/>
    <col min="9990" max="9990" width="10.5703125" style="287" customWidth="1"/>
    <col min="9991" max="9991" width="20.5703125" style="287" customWidth="1"/>
    <col min="9992" max="9992" width="18.42578125" style="287" customWidth="1"/>
    <col min="9993" max="9993" width="10.28515625" style="287" customWidth="1"/>
    <col min="9994" max="9994" width="10.5703125" style="287" customWidth="1"/>
    <col min="9995" max="9995" width="19.7109375" style="287" customWidth="1"/>
    <col min="9996" max="10240" width="9.140625" style="287"/>
    <col min="10241" max="10241" width="14" style="287" customWidth="1"/>
    <col min="10242" max="10242" width="9.140625" style="287"/>
    <col min="10243" max="10243" width="12.5703125" style="287" customWidth="1"/>
    <col min="10244" max="10244" width="17.85546875" style="287" customWidth="1"/>
    <col min="10245" max="10245" width="10" style="287" customWidth="1"/>
    <col min="10246" max="10246" width="10.5703125" style="287" customWidth="1"/>
    <col min="10247" max="10247" width="20.5703125" style="287" customWidth="1"/>
    <col min="10248" max="10248" width="18.42578125" style="287" customWidth="1"/>
    <col min="10249" max="10249" width="10.28515625" style="287" customWidth="1"/>
    <col min="10250" max="10250" width="10.5703125" style="287" customWidth="1"/>
    <col min="10251" max="10251" width="19.7109375" style="287" customWidth="1"/>
    <col min="10252" max="10496" width="9.140625" style="287"/>
    <col min="10497" max="10497" width="14" style="287" customWidth="1"/>
    <col min="10498" max="10498" width="9.140625" style="287"/>
    <col min="10499" max="10499" width="12.5703125" style="287" customWidth="1"/>
    <col min="10500" max="10500" width="17.85546875" style="287" customWidth="1"/>
    <col min="10501" max="10501" width="10" style="287" customWidth="1"/>
    <col min="10502" max="10502" width="10.5703125" style="287" customWidth="1"/>
    <col min="10503" max="10503" width="20.5703125" style="287" customWidth="1"/>
    <col min="10504" max="10504" width="18.42578125" style="287" customWidth="1"/>
    <col min="10505" max="10505" width="10.28515625" style="287" customWidth="1"/>
    <col min="10506" max="10506" width="10.5703125" style="287" customWidth="1"/>
    <col min="10507" max="10507" width="19.7109375" style="287" customWidth="1"/>
    <col min="10508" max="10752" width="9.140625" style="287"/>
    <col min="10753" max="10753" width="14" style="287" customWidth="1"/>
    <col min="10754" max="10754" width="9.140625" style="287"/>
    <col min="10755" max="10755" width="12.5703125" style="287" customWidth="1"/>
    <col min="10756" max="10756" width="17.85546875" style="287" customWidth="1"/>
    <col min="10757" max="10757" width="10" style="287" customWidth="1"/>
    <col min="10758" max="10758" width="10.5703125" style="287" customWidth="1"/>
    <col min="10759" max="10759" width="20.5703125" style="287" customWidth="1"/>
    <col min="10760" max="10760" width="18.42578125" style="287" customWidth="1"/>
    <col min="10761" max="10761" width="10.28515625" style="287" customWidth="1"/>
    <col min="10762" max="10762" width="10.5703125" style="287" customWidth="1"/>
    <col min="10763" max="10763" width="19.7109375" style="287" customWidth="1"/>
    <col min="10764" max="11008" width="9.140625" style="287"/>
    <col min="11009" max="11009" width="14" style="287" customWidth="1"/>
    <col min="11010" max="11010" width="9.140625" style="287"/>
    <col min="11011" max="11011" width="12.5703125" style="287" customWidth="1"/>
    <col min="11012" max="11012" width="17.85546875" style="287" customWidth="1"/>
    <col min="11013" max="11013" width="10" style="287" customWidth="1"/>
    <col min="11014" max="11014" width="10.5703125" style="287" customWidth="1"/>
    <col min="11015" max="11015" width="20.5703125" style="287" customWidth="1"/>
    <col min="11016" max="11016" width="18.42578125" style="287" customWidth="1"/>
    <col min="11017" max="11017" width="10.28515625" style="287" customWidth="1"/>
    <col min="11018" max="11018" width="10.5703125" style="287" customWidth="1"/>
    <col min="11019" max="11019" width="19.7109375" style="287" customWidth="1"/>
    <col min="11020" max="11264" width="9.140625" style="287"/>
    <col min="11265" max="11265" width="14" style="287" customWidth="1"/>
    <col min="11266" max="11266" width="9.140625" style="287"/>
    <col min="11267" max="11267" width="12.5703125" style="287" customWidth="1"/>
    <col min="11268" max="11268" width="17.85546875" style="287" customWidth="1"/>
    <col min="11269" max="11269" width="10" style="287" customWidth="1"/>
    <col min="11270" max="11270" width="10.5703125" style="287" customWidth="1"/>
    <col min="11271" max="11271" width="20.5703125" style="287" customWidth="1"/>
    <col min="11272" max="11272" width="18.42578125" style="287" customWidth="1"/>
    <col min="11273" max="11273" width="10.28515625" style="287" customWidth="1"/>
    <col min="11274" max="11274" width="10.5703125" style="287" customWidth="1"/>
    <col min="11275" max="11275" width="19.7109375" style="287" customWidth="1"/>
    <col min="11276" max="11520" width="9.140625" style="287"/>
    <col min="11521" max="11521" width="14" style="287" customWidth="1"/>
    <col min="11522" max="11522" width="9.140625" style="287"/>
    <col min="11523" max="11523" width="12.5703125" style="287" customWidth="1"/>
    <col min="11524" max="11524" width="17.85546875" style="287" customWidth="1"/>
    <col min="11525" max="11525" width="10" style="287" customWidth="1"/>
    <col min="11526" max="11526" width="10.5703125" style="287" customWidth="1"/>
    <col min="11527" max="11527" width="20.5703125" style="287" customWidth="1"/>
    <col min="11528" max="11528" width="18.42578125" style="287" customWidth="1"/>
    <col min="11529" max="11529" width="10.28515625" style="287" customWidth="1"/>
    <col min="11530" max="11530" width="10.5703125" style="287" customWidth="1"/>
    <col min="11531" max="11531" width="19.7109375" style="287" customWidth="1"/>
    <col min="11532" max="11776" width="9.140625" style="287"/>
    <col min="11777" max="11777" width="14" style="287" customWidth="1"/>
    <col min="11778" max="11778" width="9.140625" style="287"/>
    <col min="11779" max="11779" width="12.5703125" style="287" customWidth="1"/>
    <col min="11780" max="11780" width="17.85546875" style="287" customWidth="1"/>
    <col min="11781" max="11781" width="10" style="287" customWidth="1"/>
    <col min="11782" max="11782" width="10.5703125" style="287" customWidth="1"/>
    <col min="11783" max="11783" width="20.5703125" style="287" customWidth="1"/>
    <col min="11784" max="11784" width="18.42578125" style="287" customWidth="1"/>
    <col min="11785" max="11785" width="10.28515625" style="287" customWidth="1"/>
    <col min="11786" max="11786" width="10.5703125" style="287" customWidth="1"/>
    <col min="11787" max="11787" width="19.7109375" style="287" customWidth="1"/>
    <col min="11788" max="12032" width="9.140625" style="287"/>
    <col min="12033" max="12033" width="14" style="287" customWidth="1"/>
    <col min="12034" max="12034" width="9.140625" style="287"/>
    <col min="12035" max="12035" width="12.5703125" style="287" customWidth="1"/>
    <col min="12036" max="12036" width="17.85546875" style="287" customWidth="1"/>
    <col min="12037" max="12037" width="10" style="287" customWidth="1"/>
    <col min="12038" max="12038" width="10.5703125" style="287" customWidth="1"/>
    <col min="12039" max="12039" width="20.5703125" style="287" customWidth="1"/>
    <col min="12040" max="12040" width="18.42578125" style="287" customWidth="1"/>
    <col min="12041" max="12041" width="10.28515625" style="287" customWidth="1"/>
    <col min="12042" max="12042" width="10.5703125" style="287" customWidth="1"/>
    <col min="12043" max="12043" width="19.7109375" style="287" customWidth="1"/>
    <col min="12044" max="12288" width="9.140625" style="287"/>
    <col min="12289" max="12289" width="14" style="287" customWidth="1"/>
    <col min="12290" max="12290" width="9.140625" style="287"/>
    <col min="12291" max="12291" width="12.5703125" style="287" customWidth="1"/>
    <col min="12292" max="12292" width="17.85546875" style="287" customWidth="1"/>
    <col min="12293" max="12293" width="10" style="287" customWidth="1"/>
    <col min="12294" max="12294" width="10.5703125" style="287" customWidth="1"/>
    <col min="12295" max="12295" width="20.5703125" style="287" customWidth="1"/>
    <col min="12296" max="12296" width="18.42578125" style="287" customWidth="1"/>
    <col min="12297" max="12297" width="10.28515625" style="287" customWidth="1"/>
    <col min="12298" max="12298" width="10.5703125" style="287" customWidth="1"/>
    <col min="12299" max="12299" width="19.7109375" style="287" customWidth="1"/>
    <col min="12300" max="12544" width="9.140625" style="287"/>
    <col min="12545" max="12545" width="14" style="287" customWidth="1"/>
    <col min="12546" max="12546" width="9.140625" style="287"/>
    <col min="12547" max="12547" width="12.5703125" style="287" customWidth="1"/>
    <col min="12548" max="12548" width="17.85546875" style="287" customWidth="1"/>
    <col min="12549" max="12549" width="10" style="287" customWidth="1"/>
    <col min="12550" max="12550" width="10.5703125" style="287" customWidth="1"/>
    <col min="12551" max="12551" width="20.5703125" style="287" customWidth="1"/>
    <col min="12552" max="12552" width="18.42578125" style="287" customWidth="1"/>
    <col min="12553" max="12553" width="10.28515625" style="287" customWidth="1"/>
    <col min="12554" max="12554" width="10.5703125" style="287" customWidth="1"/>
    <col min="12555" max="12555" width="19.7109375" style="287" customWidth="1"/>
    <col min="12556" max="12800" width="9.140625" style="287"/>
    <col min="12801" max="12801" width="14" style="287" customWidth="1"/>
    <col min="12802" max="12802" width="9.140625" style="287"/>
    <col min="12803" max="12803" width="12.5703125" style="287" customWidth="1"/>
    <col min="12804" max="12804" width="17.85546875" style="287" customWidth="1"/>
    <col min="12805" max="12805" width="10" style="287" customWidth="1"/>
    <col min="12806" max="12806" width="10.5703125" style="287" customWidth="1"/>
    <col min="12807" max="12807" width="20.5703125" style="287" customWidth="1"/>
    <col min="12808" max="12808" width="18.42578125" style="287" customWidth="1"/>
    <col min="12809" max="12809" width="10.28515625" style="287" customWidth="1"/>
    <col min="12810" max="12810" width="10.5703125" style="287" customWidth="1"/>
    <col min="12811" max="12811" width="19.7109375" style="287" customWidth="1"/>
    <col min="12812" max="13056" width="9.140625" style="287"/>
    <col min="13057" max="13057" width="14" style="287" customWidth="1"/>
    <col min="13058" max="13058" width="9.140625" style="287"/>
    <col min="13059" max="13059" width="12.5703125" style="287" customWidth="1"/>
    <col min="13060" max="13060" width="17.85546875" style="287" customWidth="1"/>
    <col min="13061" max="13061" width="10" style="287" customWidth="1"/>
    <col min="13062" max="13062" width="10.5703125" style="287" customWidth="1"/>
    <col min="13063" max="13063" width="20.5703125" style="287" customWidth="1"/>
    <col min="13064" max="13064" width="18.42578125" style="287" customWidth="1"/>
    <col min="13065" max="13065" width="10.28515625" style="287" customWidth="1"/>
    <col min="13066" max="13066" width="10.5703125" style="287" customWidth="1"/>
    <col min="13067" max="13067" width="19.7109375" style="287" customWidth="1"/>
    <col min="13068" max="13312" width="9.140625" style="287"/>
    <col min="13313" max="13313" width="14" style="287" customWidth="1"/>
    <col min="13314" max="13314" width="9.140625" style="287"/>
    <col min="13315" max="13315" width="12.5703125" style="287" customWidth="1"/>
    <col min="13316" max="13316" width="17.85546875" style="287" customWidth="1"/>
    <col min="13317" max="13317" width="10" style="287" customWidth="1"/>
    <col min="13318" max="13318" width="10.5703125" style="287" customWidth="1"/>
    <col min="13319" max="13319" width="20.5703125" style="287" customWidth="1"/>
    <col min="13320" max="13320" width="18.42578125" style="287" customWidth="1"/>
    <col min="13321" max="13321" width="10.28515625" style="287" customWidth="1"/>
    <col min="13322" max="13322" width="10.5703125" style="287" customWidth="1"/>
    <col min="13323" max="13323" width="19.7109375" style="287" customWidth="1"/>
    <col min="13324" max="13568" width="9.140625" style="287"/>
    <col min="13569" max="13569" width="14" style="287" customWidth="1"/>
    <col min="13570" max="13570" width="9.140625" style="287"/>
    <col min="13571" max="13571" width="12.5703125" style="287" customWidth="1"/>
    <col min="13572" max="13572" width="17.85546875" style="287" customWidth="1"/>
    <col min="13573" max="13573" width="10" style="287" customWidth="1"/>
    <col min="13574" max="13574" width="10.5703125" style="287" customWidth="1"/>
    <col min="13575" max="13575" width="20.5703125" style="287" customWidth="1"/>
    <col min="13576" max="13576" width="18.42578125" style="287" customWidth="1"/>
    <col min="13577" max="13577" width="10.28515625" style="287" customWidth="1"/>
    <col min="13578" max="13578" width="10.5703125" style="287" customWidth="1"/>
    <col min="13579" max="13579" width="19.7109375" style="287" customWidth="1"/>
    <col min="13580" max="13824" width="9.140625" style="287"/>
    <col min="13825" max="13825" width="14" style="287" customWidth="1"/>
    <col min="13826" max="13826" width="9.140625" style="287"/>
    <col min="13827" max="13827" width="12.5703125" style="287" customWidth="1"/>
    <col min="13828" max="13828" width="17.85546875" style="287" customWidth="1"/>
    <col min="13829" max="13829" width="10" style="287" customWidth="1"/>
    <col min="13830" max="13830" width="10.5703125" style="287" customWidth="1"/>
    <col min="13831" max="13831" width="20.5703125" style="287" customWidth="1"/>
    <col min="13832" max="13832" width="18.42578125" style="287" customWidth="1"/>
    <col min="13833" max="13833" width="10.28515625" style="287" customWidth="1"/>
    <col min="13834" max="13834" width="10.5703125" style="287" customWidth="1"/>
    <col min="13835" max="13835" width="19.7109375" style="287" customWidth="1"/>
    <col min="13836" max="14080" width="9.140625" style="287"/>
    <col min="14081" max="14081" width="14" style="287" customWidth="1"/>
    <col min="14082" max="14082" width="9.140625" style="287"/>
    <col min="14083" max="14083" width="12.5703125" style="287" customWidth="1"/>
    <col min="14084" max="14084" width="17.85546875" style="287" customWidth="1"/>
    <col min="14085" max="14085" width="10" style="287" customWidth="1"/>
    <col min="14086" max="14086" width="10.5703125" style="287" customWidth="1"/>
    <col min="14087" max="14087" width="20.5703125" style="287" customWidth="1"/>
    <col min="14088" max="14088" width="18.42578125" style="287" customWidth="1"/>
    <col min="14089" max="14089" width="10.28515625" style="287" customWidth="1"/>
    <col min="14090" max="14090" width="10.5703125" style="287" customWidth="1"/>
    <col min="14091" max="14091" width="19.7109375" style="287" customWidth="1"/>
    <col min="14092" max="14336" width="9.140625" style="287"/>
    <col min="14337" max="14337" width="14" style="287" customWidth="1"/>
    <col min="14338" max="14338" width="9.140625" style="287"/>
    <col min="14339" max="14339" width="12.5703125" style="287" customWidth="1"/>
    <col min="14340" max="14340" width="17.85546875" style="287" customWidth="1"/>
    <col min="14341" max="14341" width="10" style="287" customWidth="1"/>
    <col min="14342" max="14342" width="10.5703125" style="287" customWidth="1"/>
    <col min="14343" max="14343" width="20.5703125" style="287" customWidth="1"/>
    <col min="14344" max="14344" width="18.42578125" style="287" customWidth="1"/>
    <col min="14345" max="14345" width="10.28515625" style="287" customWidth="1"/>
    <col min="14346" max="14346" width="10.5703125" style="287" customWidth="1"/>
    <col min="14347" max="14347" width="19.7109375" style="287" customWidth="1"/>
    <col min="14348" max="14592" width="9.140625" style="287"/>
    <col min="14593" max="14593" width="14" style="287" customWidth="1"/>
    <col min="14594" max="14594" width="9.140625" style="287"/>
    <col min="14595" max="14595" width="12.5703125" style="287" customWidth="1"/>
    <col min="14596" max="14596" width="17.85546875" style="287" customWidth="1"/>
    <col min="14597" max="14597" width="10" style="287" customWidth="1"/>
    <col min="14598" max="14598" width="10.5703125" style="287" customWidth="1"/>
    <col min="14599" max="14599" width="20.5703125" style="287" customWidth="1"/>
    <col min="14600" max="14600" width="18.42578125" style="287" customWidth="1"/>
    <col min="14601" max="14601" width="10.28515625" style="287" customWidth="1"/>
    <col min="14602" max="14602" width="10.5703125" style="287" customWidth="1"/>
    <col min="14603" max="14603" width="19.7109375" style="287" customWidth="1"/>
    <col min="14604" max="14848" width="9.140625" style="287"/>
    <col min="14849" max="14849" width="14" style="287" customWidth="1"/>
    <col min="14850" max="14850" width="9.140625" style="287"/>
    <col min="14851" max="14851" width="12.5703125" style="287" customWidth="1"/>
    <col min="14852" max="14852" width="17.85546875" style="287" customWidth="1"/>
    <col min="14853" max="14853" width="10" style="287" customWidth="1"/>
    <col min="14854" max="14854" width="10.5703125" style="287" customWidth="1"/>
    <col min="14855" max="14855" width="20.5703125" style="287" customWidth="1"/>
    <col min="14856" max="14856" width="18.42578125" style="287" customWidth="1"/>
    <col min="14857" max="14857" width="10.28515625" style="287" customWidth="1"/>
    <col min="14858" max="14858" width="10.5703125" style="287" customWidth="1"/>
    <col min="14859" max="14859" width="19.7109375" style="287" customWidth="1"/>
    <col min="14860" max="15104" width="9.140625" style="287"/>
    <col min="15105" max="15105" width="14" style="287" customWidth="1"/>
    <col min="15106" max="15106" width="9.140625" style="287"/>
    <col min="15107" max="15107" width="12.5703125" style="287" customWidth="1"/>
    <col min="15108" max="15108" width="17.85546875" style="287" customWidth="1"/>
    <col min="15109" max="15109" width="10" style="287" customWidth="1"/>
    <col min="15110" max="15110" width="10.5703125" style="287" customWidth="1"/>
    <col min="15111" max="15111" width="20.5703125" style="287" customWidth="1"/>
    <col min="15112" max="15112" width="18.42578125" style="287" customWidth="1"/>
    <col min="15113" max="15113" width="10.28515625" style="287" customWidth="1"/>
    <col min="15114" max="15114" width="10.5703125" style="287" customWidth="1"/>
    <col min="15115" max="15115" width="19.7109375" style="287" customWidth="1"/>
    <col min="15116" max="15360" width="9.140625" style="287"/>
    <col min="15361" max="15361" width="14" style="287" customWidth="1"/>
    <col min="15362" max="15362" width="9.140625" style="287"/>
    <col min="15363" max="15363" width="12.5703125" style="287" customWidth="1"/>
    <col min="15364" max="15364" width="17.85546875" style="287" customWidth="1"/>
    <col min="15365" max="15365" width="10" style="287" customWidth="1"/>
    <col min="15366" max="15366" width="10.5703125" style="287" customWidth="1"/>
    <col min="15367" max="15367" width="20.5703125" style="287" customWidth="1"/>
    <col min="15368" max="15368" width="18.42578125" style="287" customWidth="1"/>
    <col min="15369" max="15369" width="10.28515625" style="287" customWidth="1"/>
    <col min="15370" max="15370" width="10.5703125" style="287" customWidth="1"/>
    <col min="15371" max="15371" width="19.7109375" style="287" customWidth="1"/>
    <col min="15372" max="15616" width="9.140625" style="287"/>
    <col min="15617" max="15617" width="14" style="287" customWidth="1"/>
    <col min="15618" max="15618" width="9.140625" style="287"/>
    <col min="15619" max="15619" width="12.5703125" style="287" customWidth="1"/>
    <col min="15620" max="15620" width="17.85546875" style="287" customWidth="1"/>
    <col min="15621" max="15621" width="10" style="287" customWidth="1"/>
    <col min="15622" max="15622" width="10.5703125" style="287" customWidth="1"/>
    <col min="15623" max="15623" width="20.5703125" style="287" customWidth="1"/>
    <col min="15624" max="15624" width="18.42578125" style="287" customWidth="1"/>
    <col min="15625" max="15625" width="10.28515625" style="287" customWidth="1"/>
    <col min="15626" max="15626" width="10.5703125" style="287" customWidth="1"/>
    <col min="15627" max="15627" width="19.7109375" style="287" customWidth="1"/>
    <col min="15628" max="15872" width="9.140625" style="287"/>
    <col min="15873" max="15873" width="14" style="287" customWidth="1"/>
    <col min="15874" max="15874" width="9.140625" style="287"/>
    <col min="15875" max="15875" width="12.5703125" style="287" customWidth="1"/>
    <col min="15876" max="15876" width="17.85546875" style="287" customWidth="1"/>
    <col min="15877" max="15877" width="10" style="287" customWidth="1"/>
    <col min="15878" max="15878" width="10.5703125" style="287" customWidth="1"/>
    <col min="15879" max="15879" width="20.5703125" style="287" customWidth="1"/>
    <col min="15880" max="15880" width="18.42578125" style="287" customWidth="1"/>
    <col min="15881" max="15881" width="10.28515625" style="287" customWidth="1"/>
    <col min="15882" max="15882" width="10.5703125" style="287" customWidth="1"/>
    <col min="15883" max="15883" width="19.7109375" style="287" customWidth="1"/>
    <col min="15884" max="16128" width="9.140625" style="287"/>
    <col min="16129" max="16129" width="14" style="287" customWidth="1"/>
    <col min="16130" max="16130" width="9.140625" style="287"/>
    <col min="16131" max="16131" width="12.5703125" style="287" customWidth="1"/>
    <col min="16132" max="16132" width="17.85546875" style="287" customWidth="1"/>
    <col min="16133" max="16133" width="10" style="287" customWidth="1"/>
    <col min="16134" max="16134" width="10.5703125" style="287" customWidth="1"/>
    <col min="16135" max="16135" width="20.5703125" style="287" customWidth="1"/>
    <col min="16136" max="16136" width="18.42578125" style="287" customWidth="1"/>
    <col min="16137" max="16137" width="10.28515625" style="287" customWidth="1"/>
    <col min="16138" max="16138" width="10.5703125" style="287" customWidth="1"/>
    <col min="16139" max="16139" width="19.7109375" style="287" customWidth="1"/>
    <col min="16140" max="16384" width="9.140625" style="287"/>
  </cols>
  <sheetData>
    <row r="1" spans="1:11" s="257" customFormat="1" ht="21" customHeight="1">
      <c r="A1" s="1029" t="s">
        <v>389</v>
      </c>
      <c r="B1" s="1030"/>
      <c r="C1" s="1030"/>
      <c r="D1" s="1031"/>
      <c r="E1" s="1038" t="s">
        <v>338</v>
      </c>
      <c r="F1" s="1039"/>
      <c r="G1" s="1039"/>
      <c r="H1" s="1040"/>
      <c r="I1" s="254" t="s">
        <v>390</v>
      </c>
      <c r="J1" s="255"/>
      <c r="K1" s="256"/>
    </row>
    <row r="2" spans="1:11" s="257" customFormat="1" ht="21" customHeight="1">
      <c r="A2" s="1032"/>
      <c r="B2" s="1033"/>
      <c r="C2" s="1033"/>
      <c r="D2" s="1034"/>
      <c r="E2" s="1041"/>
      <c r="F2" s="1042"/>
      <c r="G2" s="1042"/>
      <c r="H2" s="1043"/>
      <c r="I2" s="254" t="s">
        <v>283</v>
      </c>
      <c r="J2" s="255"/>
      <c r="K2" s="256"/>
    </row>
    <row r="3" spans="1:11" s="257" customFormat="1" ht="21" customHeight="1">
      <c r="A3" s="1035"/>
      <c r="B3" s="1036"/>
      <c r="C3" s="1036"/>
      <c r="D3" s="1037"/>
      <c r="E3" s="1044"/>
      <c r="F3" s="1045"/>
      <c r="G3" s="1045"/>
      <c r="H3" s="1046"/>
      <c r="I3" s="254" t="s">
        <v>391</v>
      </c>
      <c r="J3" s="255"/>
      <c r="K3" s="256"/>
    </row>
    <row r="4" spans="1:11" s="260" customFormat="1" ht="24" customHeight="1">
      <c r="A4" s="258" t="s">
        <v>339</v>
      </c>
      <c r="B4" s="1047" t="s">
        <v>437</v>
      </c>
      <c r="C4" s="1047"/>
      <c r="D4" s="1047"/>
      <c r="E4" s="1047"/>
      <c r="F4" s="259"/>
      <c r="G4" s="259"/>
      <c r="H4" s="1047" t="s">
        <v>441</v>
      </c>
      <c r="I4" s="1047"/>
      <c r="J4" s="1047"/>
      <c r="K4" s="1048"/>
    </row>
    <row r="5" spans="1:11" s="260" customFormat="1">
      <c r="A5" s="261" t="s">
        <v>340</v>
      </c>
      <c r="D5" s="260" t="s">
        <v>392</v>
      </c>
      <c r="G5" s="262" t="s">
        <v>447</v>
      </c>
      <c r="I5" s="260" t="s">
        <v>342</v>
      </c>
      <c r="J5" s="263" t="s">
        <v>446</v>
      </c>
      <c r="K5" s="264"/>
    </row>
    <row r="6" spans="1:11" s="260" customFormat="1">
      <c r="A6" s="261" t="s">
        <v>393</v>
      </c>
      <c r="D6" s="265"/>
      <c r="K6" s="264"/>
    </row>
    <row r="7" spans="1:11" s="260" customFormat="1">
      <c r="A7" s="261" t="s">
        <v>343</v>
      </c>
      <c r="H7" s="260" t="s">
        <v>342</v>
      </c>
      <c r="K7" s="264"/>
    </row>
    <row r="8" spans="1:11" s="260" customFormat="1">
      <c r="A8" s="261" t="s">
        <v>344</v>
      </c>
      <c r="C8" s="1028">
        <v>252709140196</v>
      </c>
      <c r="D8" s="1028"/>
      <c r="E8" s="266" t="s">
        <v>394</v>
      </c>
      <c r="F8" s="266"/>
      <c r="G8" s="381">
        <v>2540128099</v>
      </c>
      <c r="H8" s="266"/>
      <c r="I8" s="260" t="s">
        <v>395</v>
      </c>
      <c r="J8" s="265"/>
      <c r="K8" s="267" t="s">
        <v>592</v>
      </c>
    </row>
    <row r="9" spans="1:11" s="260" customFormat="1">
      <c r="A9" s="261" t="s">
        <v>345</v>
      </c>
      <c r="E9" s="260" t="s">
        <v>396</v>
      </c>
      <c r="H9" s="260" t="s">
        <v>180</v>
      </c>
      <c r="I9" s="260" t="s">
        <v>346</v>
      </c>
      <c r="J9" s="268" t="s">
        <v>178</v>
      </c>
      <c r="K9" s="264"/>
    </row>
    <row r="10" spans="1:11" s="260" customFormat="1">
      <c r="A10" s="269"/>
      <c r="B10" s="270" t="s">
        <v>347</v>
      </c>
      <c r="C10" s="270" t="s">
        <v>348</v>
      </c>
      <c r="D10" s="270"/>
      <c r="E10" s="270"/>
      <c r="F10" s="270"/>
      <c r="G10" s="270"/>
      <c r="H10" s="270"/>
      <c r="I10" s="270"/>
      <c r="J10" s="270"/>
      <c r="K10" s="271"/>
    </row>
    <row r="11" spans="1:11" s="260" customFormat="1">
      <c r="A11" s="1024" t="s">
        <v>349</v>
      </c>
      <c r="B11" s="1025"/>
      <c r="C11" s="1025"/>
      <c r="D11" s="1025"/>
      <c r="E11" s="1025"/>
      <c r="F11" s="272" t="s">
        <v>350</v>
      </c>
      <c r="K11" s="264"/>
    </row>
    <row r="12" spans="1:11" s="260" customFormat="1">
      <c r="A12" s="261" t="s">
        <v>397</v>
      </c>
      <c r="E12" s="260" t="s">
        <v>398</v>
      </c>
      <c r="G12" s="260" t="s">
        <v>399</v>
      </c>
      <c r="J12" s="260" t="s">
        <v>400</v>
      </c>
      <c r="K12" s="264"/>
    </row>
    <row r="13" spans="1:11" s="260" customFormat="1">
      <c r="A13" s="1020" t="s">
        <v>401</v>
      </c>
      <c r="B13" s="1021"/>
      <c r="C13" s="1021"/>
      <c r="D13" s="1021"/>
      <c r="E13" s="1021"/>
      <c r="F13" s="260" t="s">
        <v>351</v>
      </c>
      <c r="I13" s="1026" t="s">
        <v>402</v>
      </c>
      <c r="J13" s="1026"/>
      <c r="K13" s="1027"/>
    </row>
    <row r="14" spans="1:11" s="260" customFormat="1">
      <c r="A14" s="261" t="s">
        <v>352</v>
      </c>
      <c r="C14" s="273" t="s">
        <v>353</v>
      </c>
      <c r="D14" s="260" t="s">
        <v>354</v>
      </c>
      <c r="F14" s="260" t="s">
        <v>355</v>
      </c>
      <c r="H14" s="266"/>
      <c r="I14" s="274" t="s">
        <v>593</v>
      </c>
      <c r="J14" s="266"/>
      <c r="K14" s="275"/>
    </row>
    <row r="15" spans="1:11" s="260" customFormat="1">
      <c r="A15" s="1020" t="s">
        <v>403</v>
      </c>
      <c r="B15" s="1021"/>
      <c r="C15" s="1021"/>
      <c r="D15" s="1021"/>
      <c r="K15" s="264"/>
    </row>
    <row r="16" spans="1:11" s="260" customFormat="1">
      <c r="A16" s="261"/>
      <c r="K16" s="264"/>
    </row>
    <row r="17" spans="1:11" s="260" customFormat="1">
      <c r="A17" s="276" t="s">
        <v>404</v>
      </c>
      <c r="B17" s="272" t="s">
        <v>405</v>
      </c>
      <c r="C17" s="272" t="s">
        <v>357</v>
      </c>
      <c r="D17" s="272" t="s">
        <v>358</v>
      </c>
      <c r="E17" s="272" t="s">
        <v>406</v>
      </c>
      <c r="F17" s="265">
        <v>411026</v>
      </c>
      <c r="H17" s="260" t="s">
        <v>356</v>
      </c>
      <c r="I17" s="346" t="s">
        <v>526</v>
      </c>
      <c r="K17" s="264"/>
    </row>
    <row r="18" spans="1:11" s="260" customFormat="1">
      <c r="A18" s="276" t="s">
        <v>359</v>
      </c>
      <c r="I18" s="260" t="s">
        <v>360</v>
      </c>
      <c r="J18" s="265" t="s">
        <v>407</v>
      </c>
      <c r="K18" s="264"/>
    </row>
    <row r="19" spans="1:11" s="260" customFormat="1">
      <c r="A19" s="276" t="s">
        <v>361</v>
      </c>
      <c r="I19" s="260" t="s">
        <v>360</v>
      </c>
      <c r="J19" s="265" t="s">
        <v>407</v>
      </c>
      <c r="K19" s="264"/>
    </row>
    <row r="20" spans="1:11" s="260" customFormat="1">
      <c r="A20" s="261"/>
      <c r="K20" s="264"/>
    </row>
    <row r="21" spans="1:11" s="260" customFormat="1">
      <c r="A21" s="276" t="s">
        <v>362</v>
      </c>
      <c r="K21" s="264"/>
    </row>
    <row r="22" spans="1:11" s="260" customFormat="1">
      <c r="A22" s="261"/>
      <c r="K22" s="264"/>
    </row>
    <row r="23" spans="1:11" s="260" customFormat="1">
      <c r="A23" s="261" t="s">
        <v>408</v>
      </c>
      <c r="H23" s="260" t="s">
        <v>363</v>
      </c>
      <c r="K23" s="264"/>
    </row>
    <row r="24" spans="1:11" s="260" customFormat="1">
      <c r="A24" s="261" t="s">
        <v>409</v>
      </c>
      <c r="H24" s="260" t="s">
        <v>364</v>
      </c>
      <c r="K24" s="264"/>
    </row>
    <row r="25" spans="1:11" s="272" customFormat="1">
      <c r="A25" s="261" t="s">
        <v>410</v>
      </c>
      <c r="B25" s="260"/>
      <c r="C25" s="260"/>
      <c r="D25" s="260"/>
      <c r="E25" s="260"/>
      <c r="F25" s="260"/>
      <c r="G25" s="260"/>
      <c r="H25" s="260" t="s">
        <v>365</v>
      </c>
      <c r="I25" s="260"/>
      <c r="J25" s="260"/>
      <c r="K25" s="264"/>
    </row>
    <row r="26" spans="1:11" s="260" customFormat="1">
      <c r="A26" s="261" t="s">
        <v>411</v>
      </c>
      <c r="E26" s="260" t="s">
        <v>341</v>
      </c>
      <c r="H26" s="260" t="s">
        <v>366</v>
      </c>
      <c r="K26" s="264"/>
    </row>
    <row r="27" spans="1:11" s="260" customFormat="1">
      <c r="A27" s="261" t="s">
        <v>412</v>
      </c>
      <c r="H27" s="260" t="s">
        <v>367</v>
      </c>
      <c r="K27" s="264"/>
    </row>
    <row r="28" spans="1:11" s="260" customFormat="1">
      <c r="A28" s="261"/>
      <c r="K28" s="264"/>
    </row>
    <row r="29" spans="1:11" s="260" customFormat="1">
      <c r="A29" s="276" t="s">
        <v>368</v>
      </c>
      <c r="K29" s="264"/>
    </row>
    <row r="30" spans="1:11" s="260" customFormat="1">
      <c r="A30" s="276"/>
      <c r="K30" s="264"/>
    </row>
    <row r="31" spans="1:11" s="260" customFormat="1">
      <c r="A31" s="261" t="s">
        <v>413</v>
      </c>
      <c r="K31" s="264"/>
    </row>
    <row r="32" spans="1:11" s="260" customFormat="1">
      <c r="A32" s="261"/>
      <c r="B32" s="260" t="s">
        <v>369</v>
      </c>
      <c r="K32" s="264"/>
    </row>
    <row r="33" spans="1:11" s="260" customFormat="1">
      <c r="A33" s="261" t="s">
        <v>414</v>
      </c>
      <c r="K33" s="264"/>
    </row>
    <row r="34" spans="1:11" s="260" customFormat="1">
      <c r="A34" s="261" t="s">
        <v>415</v>
      </c>
      <c r="K34" s="264"/>
    </row>
    <row r="35" spans="1:11" s="260" customFormat="1">
      <c r="A35" s="261" t="s">
        <v>416</v>
      </c>
      <c r="K35" s="264"/>
    </row>
    <row r="36" spans="1:11" s="260" customFormat="1">
      <c r="A36" s="261" t="s">
        <v>417</v>
      </c>
      <c r="K36" s="264"/>
    </row>
    <row r="37" spans="1:11" s="260" customFormat="1">
      <c r="A37" s="261"/>
      <c r="B37" s="260" t="s">
        <v>418</v>
      </c>
      <c r="K37" s="264"/>
    </row>
    <row r="38" spans="1:11" s="260" customFormat="1">
      <c r="A38" s="261"/>
      <c r="K38" s="264"/>
    </row>
    <row r="39" spans="1:11" s="260" customFormat="1">
      <c r="A39" s="276" t="s">
        <v>370</v>
      </c>
      <c r="K39" s="264"/>
    </row>
    <row r="40" spans="1:11" s="260" customFormat="1">
      <c r="A40" s="261" t="s">
        <v>371</v>
      </c>
      <c r="C40" s="260" t="s">
        <v>419</v>
      </c>
      <c r="F40" s="260" t="s">
        <v>420</v>
      </c>
      <c r="H40" s="260" t="s">
        <v>421</v>
      </c>
      <c r="J40" s="264" t="s">
        <v>422</v>
      </c>
      <c r="K40" s="277"/>
    </row>
    <row r="41" spans="1:11" s="260" customFormat="1">
      <c r="A41" s="261"/>
      <c r="K41" s="264"/>
    </row>
    <row r="42" spans="1:11" s="260" customFormat="1">
      <c r="A42" s="261" t="s">
        <v>372</v>
      </c>
      <c r="G42" s="260" t="s">
        <v>423</v>
      </c>
      <c r="H42" s="273" t="s">
        <v>424</v>
      </c>
      <c r="K42" s="264"/>
    </row>
    <row r="43" spans="1:11" s="260" customFormat="1">
      <c r="A43" s="261" t="s">
        <v>373</v>
      </c>
      <c r="D43" s="278" t="s">
        <v>425</v>
      </c>
      <c r="E43" s="279"/>
      <c r="K43" s="264"/>
    </row>
    <row r="44" spans="1:11" s="260" customFormat="1">
      <c r="A44" s="261"/>
      <c r="K44" s="264"/>
    </row>
    <row r="45" spans="1:11" s="260" customFormat="1">
      <c r="A45" s="276" t="s">
        <v>374</v>
      </c>
      <c r="K45" s="264"/>
    </row>
    <row r="46" spans="1:11" s="260" customFormat="1">
      <c r="A46" s="261" t="s">
        <v>426</v>
      </c>
      <c r="K46" s="264"/>
    </row>
    <row r="47" spans="1:11" s="260" customFormat="1">
      <c r="A47" s="261" t="s">
        <v>427</v>
      </c>
      <c r="D47" s="279"/>
      <c r="K47" s="264"/>
    </row>
    <row r="48" spans="1:11" s="260" customFormat="1" ht="20.25" customHeight="1">
      <c r="A48" s="261" t="s">
        <v>679</v>
      </c>
      <c r="D48" s="280"/>
      <c r="K48" s="264"/>
    </row>
    <row r="49" spans="1:11" s="260" customFormat="1">
      <c r="A49" s="261"/>
      <c r="K49" s="264"/>
    </row>
    <row r="50" spans="1:11" s="260" customFormat="1">
      <c r="A50" s="276" t="s">
        <v>375</v>
      </c>
      <c r="K50" s="264"/>
    </row>
    <row r="51" spans="1:11" s="260" customFormat="1">
      <c r="A51" s="276"/>
      <c r="K51" s="264"/>
    </row>
    <row r="52" spans="1:11" s="260" customFormat="1">
      <c r="A52" s="261" t="s">
        <v>428</v>
      </c>
      <c r="B52" s="279" t="s">
        <v>123</v>
      </c>
      <c r="C52" s="279"/>
      <c r="E52" s="260" t="s">
        <v>376</v>
      </c>
      <c r="F52" s="279" t="s">
        <v>377</v>
      </c>
      <c r="G52" s="279"/>
      <c r="H52" s="260" t="s">
        <v>429</v>
      </c>
      <c r="J52" s="260" t="s">
        <v>430</v>
      </c>
      <c r="K52" s="264"/>
    </row>
    <row r="53" spans="1:11" s="260" customFormat="1">
      <c r="A53" s="269" t="s">
        <v>378</v>
      </c>
      <c r="B53" s="270"/>
      <c r="C53" s="270"/>
      <c r="D53" s="270"/>
      <c r="E53" s="270"/>
      <c r="F53" s="270"/>
      <c r="G53" s="270"/>
      <c r="H53" s="270" t="s">
        <v>379</v>
      </c>
      <c r="I53" s="281"/>
      <c r="J53" s="270"/>
      <c r="K53" s="271"/>
    </row>
    <row r="54" spans="1:11" s="260" customFormat="1">
      <c r="A54" s="282" t="s">
        <v>380</v>
      </c>
      <c r="K54" s="264"/>
    </row>
    <row r="55" spans="1:11" s="260" customFormat="1">
      <c r="A55" s="276" t="s">
        <v>431</v>
      </c>
      <c r="D55" s="1022" t="s">
        <v>381</v>
      </c>
      <c r="E55" s="1022"/>
      <c r="F55" s="260" t="s">
        <v>432</v>
      </c>
      <c r="H55" s="272" t="s">
        <v>433</v>
      </c>
      <c r="K55" s="283" t="s">
        <v>382</v>
      </c>
    </row>
    <row r="56" spans="1:11" s="260" customFormat="1">
      <c r="A56" s="261"/>
      <c r="D56" s="1022" t="s">
        <v>434</v>
      </c>
      <c r="E56" s="1022"/>
      <c r="J56" s="260" t="s">
        <v>383</v>
      </c>
      <c r="K56" s="283" t="s">
        <v>384</v>
      </c>
    </row>
    <row r="57" spans="1:11" s="260" customFormat="1" ht="67.5" customHeight="1">
      <c r="A57" s="261"/>
      <c r="K57" s="264"/>
    </row>
    <row r="58" spans="1:11" s="260" customFormat="1" ht="24.75" customHeight="1">
      <c r="A58" s="261" t="s">
        <v>385</v>
      </c>
      <c r="C58" s="1022" t="s">
        <v>435</v>
      </c>
      <c r="D58" s="1022"/>
      <c r="E58" s="1022"/>
      <c r="F58" s="1023" t="s">
        <v>386</v>
      </c>
      <c r="G58" s="1023"/>
      <c r="H58" s="1023"/>
      <c r="I58" s="284" t="s">
        <v>387</v>
      </c>
      <c r="K58" s="264"/>
    </row>
    <row r="59" spans="1:11" s="260" customFormat="1">
      <c r="A59" s="285" t="s">
        <v>388</v>
      </c>
      <c r="B59" s="279"/>
      <c r="C59" s="279"/>
      <c r="D59" s="279"/>
      <c r="E59" s="279"/>
      <c r="F59" s="279"/>
      <c r="G59" s="279"/>
      <c r="H59" s="286"/>
      <c r="I59" s="279"/>
      <c r="J59" s="279"/>
      <c r="K59" s="278"/>
    </row>
  </sheetData>
  <mergeCells count="13">
    <mergeCell ref="A11:E11"/>
    <mergeCell ref="A13:E13"/>
    <mergeCell ref="I13:K13"/>
    <mergeCell ref="C8:D8"/>
    <mergeCell ref="A1:D3"/>
    <mergeCell ref="E1:H3"/>
    <mergeCell ref="B4:E4"/>
    <mergeCell ref="H4:K4"/>
    <mergeCell ref="A15:D15"/>
    <mergeCell ref="D55:E55"/>
    <mergeCell ref="D56:E56"/>
    <mergeCell ref="C58:E58"/>
    <mergeCell ref="F58:H58"/>
  </mergeCells>
  <printOptions horizontalCentered="1" verticalCentered="1"/>
  <pageMargins left="0.539370079" right="3.9370078740157501E-2" top="3.9370078740157501E-2" bottom="3.9370078740157501E-2" header="0.31496062992126" footer="0.31496062992126"/>
  <pageSetup paperSize="9" scale="62" orientation="portrait" verticalDpi="72" r:id="rId1"/>
  <drawing r:id="rId2"/>
  <legacyDrawing r:id="rId3"/>
  <oleObjects>
    <oleObject progId="AutoCAD.Drawing.14" shapeId="9217" r:id="rId4"/>
    <oleObject progId="AutoCAD.Drawing.14" shapeId="9218" r:id="rId5"/>
    <oleObject progId="AutoCAD.Drawing.14" shapeId="9219" r:id="rId6"/>
    <oleObject progId="AutoCAD.Drawing.14" shapeId="9220" r:id="rId7"/>
    <oleObject progId="AutoCAD.Drawing.14" shapeId="9221" r:id="rId8"/>
    <oleObject progId="AutoCAD.Drawing.14" shapeId="9222" r:id="rId9"/>
    <oleObject progId="AutoCAD.Drawing.14" shapeId="9223" r:id="rId10"/>
    <oleObject progId="AutoCAD.Drawing.14" shapeId="9224" r:id="rId11"/>
  </oleObjec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topLeftCell="A19" workbookViewId="0">
      <selection activeCell="F26" sqref="F26"/>
    </sheetView>
  </sheetViews>
  <sheetFormatPr defaultRowHeight="15" customHeight="1"/>
  <cols>
    <col min="1" max="1" width="8.42578125" style="385" customWidth="1"/>
    <col min="2" max="2" width="9.140625" style="385"/>
    <col min="3" max="3" width="8.28515625" style="385" customWidth="1"/>
    <col min="4" max="4" width="9.7109375" style="385" customWidth="1"/>
    <col min="5" max="5" width="9.85546875" style="385" customWidth="1"/>
    <col min="6" max="6" width="9.140625" style="385" customWidth="1"/>
    <col min="7" max="7" width="8.5703125" style="385" customWidth="1"/>
    <col min="8" max="8" width="9.140625" style="385"/>
    <col min="9" max="9" width="7.85546875" style="385" customWidth="1"/>
    <col min="10" max="10" width="9.140625" style="385"/>
    <col min="11" max="11" width="11.85546875" style="385" customWidth="1"/>
    <col min="12" max="16384" width="9.140625" style="385"/>
  </cols>
  <sheetData>
    <row r="1" spans="1:11" ht="15" customHeight="1">
      <c r="A1" s="1074" t="s">
        <v>594</v>
      </c>
      <c r="B1" s="1075"/>
      <c r="C1" s="1075"/>
      <c r="D1" s="1075"/>
      <c r="E1" s="1075"/>
      <c r="F1" s="1075"/>
      <c r="G1" s="1075"/>
      <c r="H1" s="1075"/>
      <c r="I1" s="1076"/>
      <c r="J1" s="383" t="s">
        <v>595</v>
      </c>
      <c r="K1" s="384"/>
    </row>
    <row r="2" spans="1:11" ht="15" customHeight="1">
      <c r="A2" s="1077" t="s">
        <v>596</v>
      </c>
      <c r="B2" s="1078"/>
      <c r="C2" s="1078"/>
      <c r="D2" s="1078"/>
      <c r="E2" s="1078"/>
      <c r="F2" s="1078"/>
      <c r="G2" s="1078"/>
      <c r="H2" s="1078"/>
      <c r="I2" s="1079"/>
      <c r="J2" s="383" t="s">
        <v>597</v>
      </c>
      <c r="K2" s="384"/>
    </row>
    <row r="3" spans="1:11" ht="15" customHeight="1">
      <c r="A3" s="1080"/>
      <c r="B3" s="1081"/>
      <c r="C3" s="1081"/>
      <c r="D3" s="1081"/>
      <c r="E3" s="1081"/>
      <c r="F3" s="1081"/>
      <c r="G3" s="1081"/>
      <c r="H3" s="1081"/>
      <c r="I3" s="1072"/>
      <c r="J3" s="383" t="s">
        <v>598</v>
      </c>
      <c r="K3" s="384"/>
    </row>
    <row r="4" spans="1:11" ht="15" customHeight="1">
      <c r="A4" s="1082" t="s">
        <v>599</v>
      </c>
      <c r="B4" s="1083"/>
      <c r="C4" s="1083"/>
      <c r="D4" s="1083"/>
      <c r="E4" s="1083"/>
      <c r="F4" s="1083"/>
      <c r="G4" s="1083"/>
      <c r="H4" s="1083"/>
      <c r="I4" s="1084"/>
      <c r="J4" s="386" t="s">
        <v>600</v>
      </c>
      <c r="K4" s="387"/>
    </row>
    <row r="5" spans="1:11" ht="15" customHeight="1">
      <c r="A5" s="1085" t="s">
        <v>601</v>
      </c>
      <c r="B5" s="1086"/>
      <c r="C5" s="1086"/>
      <c r="D5" s="1086"/>
      <c r="E5" s="1087"/>
      <c r="F5" s="388" t="s">
        <v>602</v>
      </c>
      <c r="G5" s="389"/>
      <c r="H5" s="389"/>
      <c r="I5" s="389"/>
      <c r="J5" s="389"/>
      <c r="K5" s="390"/>
    </row>
    <row r="6" spans="1:11" ht="15" customHeight="1">
      <c r="A6" s="391"/>
      <c r="B6" s="392"/>
      <c r="C6" s="392"/>
      <c r="D6" s="393" t="s">
        <v>603</v>
      </c>
      <c r="E6" s="394"/>
      <c r="F6" s="392"/>
      <c r="G6" s="392"/>
      <c r="H6" s="392"/>
      <c r="I6" s="392"/>
      <c r="J6" s="392"/>
      <c r="K6" s="394"/>
    </row>
    <row r="7" spans="1:11" ht="15" customHeight="1">
      <c r="A7" s="395" t="s">
        <v>604</v>
      </c>
      <c r="B7" s="392"/>
      <c r="C7" s="392" t="s">
        <v>605</v>
      </c>
      <c r="D7" s="393"/>
      <c r="E7" s="394"/>
      <c r="F7" s="393" t="s">
        <v>606</v>
      </c>
      <c r="G7" s="392"/>
      <c r="H7" s="392"/>
      <c r="I7" s="392" t="s">
        <v>607</v>
      </c>
      <c r="J7" s="392"/>
      <c r="K7" s="394"/>
    </row>
    <row r="8" spans="1:11" ht="15" customHeight="1">
      <c r="A8" s="396" t="s">
        <v>608</v>
      </c>
      <c r="B8" s="397"/>
      <c r="C8" s="392" t="s">
        <v>609</v>
      </c>
      <c r="D8" s="397"/>
      <c r="E8" s="398"/>
      <c r="F8" s="397"/>
      <c r="G8" s="397" t="s">
        <v>610</v>
      </c>
      <c r="H8" s="397"/>
      <c r="I8" s="397"/>
      <c r="J8" s="397"/>
      <c r="K8" s="398"/>
    </row>
    <row r="9" spans="1:11" ht="15" customHeight="1">
      <c r="A9" s="399" t="s">
        <v>611</v>
      </c>
      <c r="B9" s="389"/>
      <c r="C9" s="389"/>
      <c r="D9" s="389"/>
      <c r="E9" s="390"/>
      <c r="F9" s="388" t="s">
        <v>612</v>
      </c>
      <c r="G9" s="389"/>
      <c r="H9" s="389"/>
      <c r="I9" s="389"/>
      <c r="J9" s="389"/>
      <c r="K9" s="390"/>
    </row>
    <row r="10" spans="1:11" ht="15" customHeight="1">
      <c r="A10" s="395" t="s">
        <v>613</v>
      </c>
      <c r="B10" s="392" t="s">
        <v>614</v>
      </c>
      <c r="C10" s="392"/>
      <c r="D10" s="392"/>
      <c r="E10" s="394"/>
      <c r="F10" s="392" t="s">
        <v>615</v>
      </c>
      <c r="G10" s="392"/>
      <c r="H10" s="392"/>
      <c r="I10" s="392"/>
      <c r="J10" s="392"/>
      <c r="K10" s="394"/>
    </row>
    <row r="11" spans="1:11" ht="15" customHeight="1">
      <c r="A11" s="395" t="s">
        <v>616</v>
      </c>
      <c r="B11" s="392"/>
      <c r="C11" s="392"/>
      <c r="D11" s="392"/>
      <c r="E11" s="394"/>
      <c r="F11" s="392" t="s">
        <v>617</v>
      </c>
      <c r="G11" s="392"/>
      <c r="H11" s="392"/>
      <c r="I11" s="392"/>
      <c r="J11" s="392"/>
      <c r="K11" s="394"/>
    </row>
    <row r="12" spans="1:11" ht="15" customHeight="1">
      <c r="A12" s="396" t="s">
        <v>618</v>
      </c>
      <c r="B12" s="397"/>
      <c r="C12" s="397"/>
      <c r="D12" s="397"/>
      <c r="E12" s="398"/>
      <c r="F12" s="397"/>
      <c r="G12" s="397"/>
      <c r="H12" s="397"/>
      <c r="I12" s="397"/>
      <c r="J12" s="397"/>
      <c r="K12" s="398"/>
    </row>
    <row r="13" spans="1:11" ht="15" customHeight="1">
      <c r="A13" s="399" t="s">
        <v>619</v>
      </c>
      <c r="B13" s="389"/>
      <c r="C13" s="389"/>
      <c r="D13" s="389"/>
      <c r="E13" s="390"/>
      <c r="F13" s="388" t="s">
        <v>620</v>
      </c>
      <c r="G13" s="389"/>
      <c r="H13" s="389"/>
      <c r="I13" s="389"/>
      <c r="J13" s="389"/>
      <c r="K13" s="390"/>
    </row>
    <row r="14" spans="1:11" ht="15" customHeight="1">
      <c r="A14" s="395" t="s">
        <v>621</v>
      </c>
      <c r="B14" s="392"/>
      <c r="C14" s="392" t="s">
        <v>622</v>
      </c>
      <c r="D14" s="392"/>
      <c r="E14" s="394"/>
      <c r="F14" s="393" t="s">
        <v>623</v>
      </c>
      <c r="G14" s="392"/>
      <c r="H14" s="392"/>
      <c r="I14" s="392"/>
      <c r="J14" s="392"/>
      <c r="K14" s="394"/>
    </row>
    <row r="15" spans="1:11" ht="15" customHeight="1">
      <c r="A15" s="391"/>
      <c r="B15" s="392"/>
      <c r="C15" s="392"/>
      <c r="D15" s="392"/>
      <c r="E15" s="394"/>
      <c r="F15" s="392" t="s">
        <v>624</v>
      </c>
      <c r="G15" s="392"/>
      <c r="H15" s="392"/>
      <c r="I15" s="392"/>
      <c r="J15" s="392"/>
      <c r="K15" s="394"/>
    </row>
    <row r="16" spans="1:11" ht="15" customHeight="1">
      <c r="A16" s="391"/>
      <c r="B16" s="392"/>
      <c r="C16" s="392"/>
      <c r="D16" s="392"/>
      <c r="E16" s="394"/>
      <c r="F16" s="393" t="s">
        <v>625</v>
      </c>
      <c r="G16" s="392"/>
      <c r="H16" s="392"/>
      <c r="I16" s="392"/>
      <c r="J16" s="392"/>
      <c r="K16" s="394"/>
    </row>
    <row r="17" spans="1:12" ht="15" customHeight="1">
      <c r="A17" s="396" t="s">
        <v>626</v>
      </c>
      <c r="B17" s="397"/>
      <c r="C17" s="392" t="s">
        <v>678</v>
      </c>
      <c r="D17" s="392"/>
      <c r="E17" s="392"/>
      <c r="F17" s="392"/>
      <c r="G17" s="397"/>
      <c r="H17" s="397"/>
      <c r="I17" s="397"/>
      <c r="J17" s="397"/>
      <c r="K17" s="398"/>
    </row>
    <row r="18" spans="1:12" ht="15" customHeight="1">
      <c r="A18" s="399" t="s">
        <v>627</v>
      </c>
      <c r="B18" s="389"/>
      <c r="C18" s="389"/>
      <c r="D18" s="389"/>
      <c r="E18" s="390"/>
      <c r="F18" s="399" t="s">
        <v>628</v>
      </c>
      <c r="G18" s="389"/>
      <c r="H18" s="389"/>
      <c r="I18" s="389"/>
      <c r="J18" s="389"/>
      <c r="K18" s="390"/>
    </row>
    <row r="19" spans="1:12" ht="15" customHeight="1">
      <c r="A19" s="391" t="s">
        <v>629</v>
      </c>
      <c r="B19" s="392"/>
      <c r="C19" s="392"/>
      <c r="D19" s="392" t="s">
        <v>630</v>
      </c>
      <c r="E19" s="394"/>
      <c r="F19" s="391" t="s">
        <v>631</v>
      </c>
      <c r="G19" s="392" t="s">
        <v>632</v>
      </c>
      <c r="H19" s="392"/>
      <c r="I19" s="392"/>
      <c r="J19" s="392"/>
      <c r="K19" s="394"/>
    </row>
    <row r="20" spans="1:12" ht="15" customHeight="1">
      <c r="A20" s="391" t="s">
        <v>633</v>
      </c>
      <c r="B20" s="392"/>
      <c r="C20" s="392"/>
      <c r="D20" s="392">
        <v>0.8</v>
      </c>
      <c r="E20" s="394"/>
      <c r="F20" s="391" t="s">
        <v>634</v>
      </c>
      <c r="G20" s="392"/>
      <c r="H20" s="400">
        <v>0.99990000000000001</v>
      </c>
      <c r="I20" s="392" t="s">
        <v>635</v>
      </c>
      <c r="J20" s="392"/>
      <c r="K20" s="1072" t="s">
        <v>636</v>
      </c>
    </row>
    <row r="21" spans="1:12" ht="15" customHeight="1">
      <c r="A21" s="401"/>
      <c r="B21" s="397"/>
      <c r="C21" s="397"/>
      <c r="D21" s="397"/>
      <c r="E21" s="398"/>
      <c r="F21" s="401"/>
      <c r="G21" s="397"/>
      <c r="H21" s="397"/>
      <c r="I21" s="397"/>
      <c r="J21" s="397"/>
      <c r="K21" s="1073"/>
    </row>
    <row r="22" spans="1:12" ht="15" customHeight="1">
      <c r="A22" s="399" t="s">
        <v>637</v>
      </c>
      <c r="B22" s="389"/>
      <c r="C22" s="389"/>
      <c r="D22" s="389"/>
      <c r="E22" s="390"/>
      <c r="F22" s="399" t="s">
        <v>638</v>
      </c>
      <c r="G22" s="389"/>
      <c r="H22" s="389" t="s">
        <v>639</v>
      </c>
      <c r="I22" s="389"/>
      <c r="J22" s="389"/>
      <c r="K22" s="390"/>
      <c r="L22" s="392"/>
    </row>
    <row r="23" spans="1:12" ht="15" customHeight="1">
      <c r="A23" s="391" t="s">
        <v>640</v>
      </c>
      <c r="B23" s="392"/>
      <c r="C23" s="392"/>
      <c r="D23" s="392" t="s">
        <v>641</v>
      </c>
      <c r="E23" s="394"/>
      <c r="F23" s="391"/>
      <c r="G23" s="392"/>
      <c r="H23" s="392"/>
      <c r="I23" s="392"/>
      <c r="J23" s="392"/>
      <c r="K23" s="394"/>
      <c r="L23" s="392"/>
    </row>
    <row r="24" spans="1:12" ht="15" customHeight="1">
      <c r="A24" s="391" t="s">
        <v>642</v>
      </c>
      <c r="B24" s="392"/>
      <c r="C24" s="392"/>
      <c r="D24" s="392"/>
      <c r="E24" s="394" t="s">
        <v>643</v>
      </c>
      <c r="F24" s="391"/>
      <c r="G24" s="392"/>
      <c r="H24" s="392"/>
      <c r="I24" s="392"/>
      <c r="J24" s="392"/>
      <c r="K24" s="394"/>
      <c r="L24" s="392"/>
    </row>
    <row r="25" spans="1:12" ht="15" customHeight="1">
      <c r="A25" s="391" t="s">
        <v>644</v>
      </c>
      <c r="B25" s="392"/>
      <c r="C25" s="392"/>
      <c r="D25" s="392"/>
      <c r="E25" s="525" t="s">
        <v>645</v>
      </c>
      <c r="F25" s="395" t="s">
        <v>646</v>
      </c>
      <c r="G25" s="392"/>
      <c r="H25" s="392" t="s">
        <v>639</v>
      </c>
      <c r="I25" s="392"/>
      <c r="J25" s="392"/>
      <c r="K25" s="394"/>
      <c r="L25" s="392"/>
    </row>
    <row r="26" spans="1:12" ht="15" customHeight="1">
      <c r="A26" s="391" t="s">
        <v>647</v>
      </c>
      <c r="B26" s="392"/>
      <c r="C26" s="392" t="s">
        <v>279</v>
      </c>
      <c r="D26" s="392"/>
      <c r="E26" s="394"/>
      <c r="F26" s="391"/>
      <c r="G26" s="392"/>
      <c r="H26" s="392"/>
      <c r="I26" s="392"/>
      <c r="J26" s="392"/>
      <c r="K26" s="394"/>
    </row>
    <row r="27" spans="1:12" ht="15" customHeight="1">
      <c r="A27" s="401" t="s">
        <v>648</v>
      </c>
      <c r="B27" s="397"/>
      <c r="C27" s="397"/>
      <c r="D27" s="392" t="s">
        <v>279</v>
      </c>
      <c r="E27" s="398"/>
      <c r="F27" s="401"/>
      <c r="G27" s="397"/>
      <c r="H27" s="397"/>
      <c r="I27" s="397"/>
      <c r="J27" s="397"/>
      <c r="K27" s="398"/>
    </row>
    <row r="28" spans="1:12" ht="15" customHeight="1">
      <c r="A28" s="1062" t="s">
        <v>219</v>
      </c>
      <c r="B28" s="1065" t="s">
        <v>649</v>
      </c>
      <c r="C28" s="402" t="s">
        <v>650</v>
      </c>
      <c r="D28" s="403"/>
      <c r="E28" s="402" t="s">
        <v>651</v>
      </c>
      <c r="F28" s="404"/>
      <c r="G28" s="403"/>
      <c r="H28" s="392"/>
      <c r="I28" s="392"/>
      <c r="J28" s="392"/>
      <c r="K28" s="394"/>
    </row>
    <row r="29" spans="1:12" ht="15" customHeight="1">
      <c r="A29" s="1063"/>
      <c r="B29" s="1066"/>
      <c r="C29" s="1062" t="s">
        <v>652</v>
      </c>
      <c r="D29" s="1062" t="s">
        <v>653</v>
      </c>
      <c r="E29" s="1062" t="s">
        <v>654</v>
      </c>
      <c r="F29" s="1049" t="s">
        <v>655</v>
      </c>
      <c r="G29" s="1049" t="s">
        <v>656</v>
      </c>
      <c r="H29" s="392"/>
      <c r="I29" s="392"/>
      <c r="J29" s="392"/>
      <c r="K29" s="394"/>
    </row>
    <row r="30" spans="1:12" ht="15" customHeight="1" thickBot="1">
      <c r="A30" s="1063"/>
      <c r="B30" s="1066"/>
      <c r="C30" s="1068"/>
      <c r="D30" s="1070"/>
      <c r="E30" s="1070"/>
      <c r="F30" s="1050"/>
      <c r="G30" s="1050"/>
      <c r="H30" s="392"/>
      <c r="I30" s="392"/>
      <c r="J30" s="405"/>
      <c r="K30" s="394"/>
    </row>
    <row r="31" spans="1:12" ht="15" customHeight="1" thickBot="1">
      <c r="A31" s="1063"/>
      <c r="B31" s="1066"/>
      <c r="C31" s="1068"/>
      <c r="D31" s="1070"/>
      <c r="E31" s="1070"/>
      <c r="F31" s="1050"/>
      <c r="G31" s="1050"/>
      <c r="H31" s="393"/>
      <c r="I31" s="406"/>
      <c r="J31" s="407"/>
      <c r="K31" s="394"/>
    </row>
    <row r="32" spans="1:12" ht="12.75" customHeight="1" thickBot="1">
      <c r="A32" s="1064"/>
      <c r="B32" s="1067"/>
      <c r="C32" s="1069"/>
      <c r="D32" s="1071"/>
      <c r="E32" s="1071"/>
      <c r="F32" s="1051"/>
      <c r="G32" s="1051"/>
      <c r="H32" s="408"/>
      <c r="I32" s="392"/>
      <c r="J32" s="406" t="s">
        <v>222</v>
      </c>
      <c r="K32" s="409"/>
    </row>
    <row r="33" spans="1:11" ht="18.75" customHeight="1">
      <c r="A33" s="391" t="s">
        <v>657</v>
      </c>
      <c r="B33" s="395" t="s">
        <v>658</v>
      </c>
      <c r="C33" s="410" t="s">
        <v>659</v>
      </c>
      <c r="D33" s="411">
        <v>0.8</v>
      </c>
      <c r="E33" s="412" t="s">
        <v>660</v>
      </c>
      <c r="F33" s="1052" t="s">
        <v>661</v>
      </c>
      <c r="G33" s="413" t="s">
        <v>662</v>
      </c>
      <c r="H33" s="393"/>
      <c r="I33" s="392"/>
      <c r="J33" s="392"/>
      <c r="K33" s="394"/>
    </row>
    <row r="34" spans="1:11" ht="18.75" customHeight="1" thickBot="1">
      <c r="A34" s="395"/>
      <c r="B34" s="395"/>
      <c r="C34" s="414"/>
      <c r="D34" s="415"/>
      <c r="E34" s="413"/>
      <c r="F34" s="1053"/>
      <c r="G34" s="416"/>
      <c r="H34" s="392"/>
      <c r="I34" s="417"/>
      <c r="J34" s="392"/>
      <c r="K34" s="415"/>
    </row>
    <row r="35" spans="1:11" ht="18.75" customHeight="1" thickBot="1">
      <c r="A35" s="391"/>
      <c r="B35" s="395"/>
      <c r="C35" s="414"/>
      <c r="D35" s="415"/>
      <c r="E35" s="418"/>
      <c r="F35" s="1053"/>
      <c r="G35" s="418"/>
      <c r="H35" s="392"/>
      <c r="I35" s="419" t="s">
        <v>663</v>
      </c>
      <c r="J35" s="420"/>
      <c r="K35" s="415"/>
    </row>
    <row r="36" spans="1:11" ht="18.75" customHeight="1">
      <c r="A36" s="401"/>
      <c r="B36" s="401"/>
      <c r="C36" s="421"/>
      <c r="D36" s="398"/>
      <c r="E36" s="422"/>
      <c r="F36" s="1054"/>
      <c r="G36" s="422"/>
      <c r="H36" s="1055"/>
      <c r="I36" s="1056"/>
      <c r="J36" s="1056"/>
      <c r="K36" s="1057"/>
    </row>
    <row r="37" spans="1:11" ht="15" customHeight="1">
      <c r="A37" s="395" t="s">
        <v>664</v>
      </c>
      <c r="B37" s="392"/>
      <c r="C37" s="392"/>
      <c r="D37" s="392"/>
      <c r="E37" s="392"/>
      <c r="F37" s="392"/>
      <c r="G37" s="392"/>
      <c r="H37" s="423"/>
      <c r="I37" s="424"/>
      <c r="J37" s="424"/>
      <c r="K37" s="425"/>
    </row>
    <row r="38" spans="1:11" ht="15" customHeight="1">
      <c r="A38" s="395" t="s">
        <v>665</v>
      </c>
      <c r="B38" s="392"/>
      <c r="C38" s="392"/>
      <c r="D38" s="392"/>
      <c r="E38" s="392"/>
      <c r="F38" s="392"/>
      <c r="G38" s="392"/>
      <c r="H38" s="392"/>
      <c r="I38" s="426"/>
      <c r="J38" s="426"/>
      <c r="K38" s="427"/>
    </row>
    <row r="39" spans="1:11" ht="15" customHeight="1">
      <c r="A39" s="428" t="s">
        <v>666</v>
      </c>
      <c r="B39" s="392"/>
      <c r="C39" s="393"/>
      <c r="D39" s="393"/>
      <c r="E39" s="393"/>
      <c r="F39" s="393"/>
      <c r="G39" s="429"/>
      <c r="H39" s="429"/>
      <c r="I39" s="429"/>
      <c r="J39" s="430"/>
      <c r="K39" s="411"/>
    </row>
    <row r="40" spans="1:11" s="434" customFormat="1" ht="15" customHeight="1">
      <c r="A40" s="431" t="s">
        <v>667</v>
      </c>
      <c r="B40" s="432"/>
      <c r="C40" s="432"/>
      <c r="D40" s="432"/>
      <c r="E40" s="432"/>
      <c r="F40" s="432"/>
      <c r="G40" s="432"/>
      <c r="H40" s="432"/>
      <c r="I40" s="432"/>
      <c r="J40" s="432"/>
      <c r="K40" s="433"/>
    </row>
    <row r="41" spans="1:11" s="434" customFormat="1" ht="15" customHeight="1">
      <c r="A41" s="431" t="s">
        <v>668</v>
      </c>
      <c r="B41" s="432"/>
      <c r="C41" s="432"/>
      <c r="D41" s="432"/>
      <c r="E41" s="432"/>
      <c r="F41" s="432"/>
      <c r="G41" s="432"/>
      <c r="H41" s="432"/>
      <c r="I41" s="432"/>
      <c r="J41" s="432"/>
      <c r="K41" s="433"/>
    </row>
    <row r="42" spans="1:11" s="434" customFormat="1" ht="15" customHeight="1">
      <c r="A42" s="431" t="s">
        <v>669</v>
      </c>
      <c r="B42" s="432"/>
      <c r="C42" s="432" t="s">
        <v>670</v>
      </c>
      <c r="D42" s="432"/>
      <c r="E42" s="432"/>
      <c r="F42" s="432"/>
      <c r="G42" s="432"/>
      <c r="H42" s="432"/>
      <c r="I42" s="432"/>
      <c r="J42" s="432"/>
      <c r="K42" s="433"/>
    </row>
    <row r="43" spans="1:11" s="434" customFormat="1" ht="15" customHeight="1">
      <c r="A43" s="435" t="s">
        <v>671</v>
      </c>
      <c r="B43" s="432"/>
      <c r="C43" s="436"/>
      <c r="D43" s="432"/>
      <c r="E43" s="432"/>
      <c r="F43" s="432"/>
      <c r="G43" s="432"/>
      <c r="H43" s="432"/>
      <c r="I43" s="432"/>
      <c r="J43" s="432"/>
      <c r="K43" s="433"/>
    </row>
    <row r="44" spans="1:11" s="434" customFormat="1" ht="12" customHeight="1">
      <c r="A44" s="435"/>
      <c r="B44" s="432"/>
      <c r="C44" s="436"/>
      <c r="D44" s="432"/>
      <c r="E44" s="432"/>
      <c r="F44" s="432"/>
      <c r="G44" s="432"/>
      <c r="H44" s="432"/>
      <c r="I44" s="432"/>
      <c r="J44" s="432"/>
      <c r="K44" s="433"/>
    </row>
    <row r="45" spans="1:11" s="434" customFormat="1" ht="15" hidden="1" customHeight="1">
      <c r="A45" s="435"/>
      <c r="B45" s="432"/>
      <c r="C45" s="436"/>
      <c r="D45" s="432"/>
      <c r="E45" s="432"/>
      <c r="F45" s="432"/>
      <c r="G45" s="432"/>
      <c r="H45" s="432"/>
      <c r="I45" s="432"/>
      <c r="J45" s="432"/>
      <c r="K45" s="433"/>
    </row>
    <row r="46" spans="1:11" ht="42.75" customHeight="1">
      <c r="A46" s="1058">
        <v>42344</v>
      </c>
      <c r="B46" s="1059"/>
      <c r="C46" s="437" t="s">
        <v>672</v>
      </c>
      <c r="D46" s="438"/>
      <c r="E46" s="1060" t="s">
        <v>673</v>
      </c>
      <c r="F46" s="1061"/>
      <c r="G46" s="1059"/>
      <c r="H46" s="397"/>
      <c r="I46" s="397"/>
      <c r="J46" s="397"/>
      <c r="K46" s="398"/>
    </row>
    <row r="47" spans="1:11" ht="15" customHeight="1">
      <c r="A47" s="439" t="s">
        <v>674</v>
      </c>
      <c r="B47" s="384"/>
      <c r="C47" s="440" t="s">
        <v>675</v>
      </c>
      <c r="D47" s="384"/>
      <c r="E47" s="440" t="s">
        <v>676</v>
      </c>
      <c r="F47" s="404"/>
      <c r="G47" s="384"/>
      <c r="H47" s="440" t="s">
        <v>677</v>
      </c>
      <c r="I47" s="404"/>
      <c r="J47" s="440"/>
      <c r="K47" s="403"/>
    </row>
    <row r="48" spans="1:11" ht="15" customHeight="1">
      <c r="A48" s="393"/>
      <c r="B48" s="393"/>
      <c r="C48" s="393"/>
      <c r="D48" s="393"/>
      <c r="E48" s="393"/>
      <c r="F48" s="392"/>
      <c r="G48" s="393"/>
      <c r="H48" s="393"/>
      <c r="I48" s="392"/>
      <c r="J48" s="393"/>
      <c r="K48" s="392"/>
    </row>
  </sheetData>
  <mergeCells count="17">
    <mergeCell ref="K20:K21"/>
    <mergeCell ref="A1:I1"/>
    <mergeCell ref="A2:I2"/>
    <mergeCell ref="A3:I3"/>
    <mergeCell ref="A4:I4"/>
    <mergeCell ref="A5:E5"/>
    <mergeCell ref="G29:G32"/>
    <mergeCell ref="F33:F36"/>
    <mergeCell ref="H36:K36"/>
    <mergeCell ref="A46:B46"/>
    <mergeCell ref="E46:G46"/>
    <mergeCell ref="A28:A32"/>
    <mergeCell ref="B28:B32"/>
    <mergeCell ref="C29:C32"/>
    <mergeCell ref="D29:D32"/>
    <mergeCell ref="E29:E32"/>
    <mergeCell ref="F29:F32"/>
  </mergeCells>
  <printOptions horizontalCentered="1" verticalCentered="1"/>
  <pageMargins left="0" right="0" top="0" bottom="0" header="0" footer="0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39"/>
  <sheetViews>
    <sheetView view="pageBreakPreview" topLeftCell="A4" zoomScaleSheetLayoutView="100" workbookViewId="0">
      <selection activeCell="A14" sqref="A14:R14"/>
    </sheetView>
  </sheetViews>
  <sheetFormatPr defaultRowHeight="12.75"/>
  <cols>
    <col min="1" max="1" width="9.140625" style="441"/>
    <col min="2" max="2" width="10.5703125" style="441" customWidth="1"/>
    <col min="3" max="3" width="11.5703125" style="441" customWidth="1"/>
    <col min="4" max="4" width="9.140625" style="441"/>
    <col min="5" max="5" width="8.140625" style="441" customWidth="1"/>
    <col min="6" max="10" width="9.28515625" style="441" customWidth="1"/>
    <col min="11" max="11" width="8.85546875" style="441" customWidth="1"/>
    <col min="12" max="12" width="11.140625" style="441" customWidth="1"/>
    <col min="13" max="13" width="9.42578125" style="441" customWidth="1"/>
    <col min="14" max="14" width="12.5703125" style="441" customWidth="1"/>
    <col min="15" max="15" width="8.85546875" style="441" customWidth="1"/>
    <col min="16" max="16" width="11.7109375" style="441" customWidth="1"/>
    <col min="17" max="17" width="11.5703125" style="441" customWidth="1"/>
    <col min="18" max="18" width="13.140625" style="441" customWidth="1"/>
    <col min="19" max="20" width="9.140625" style="441"/>
    <col min="21" max="30" width="9.5703125" style="441" customWidth="1"/>
    <col min="31" max="257" width="9.140625" style="441"/>
    <col min="258" max="258" width="10.5703125" style="441" customWidth="1"/>
    <col min="259" max="259" width="11.5703125" style="441" customWidth="1"/>
    <col min="260" max="260" width="9.140625" style="441"/>
    <col min="261" max="261" width="8.140625" style="441" customWidth="1"/>
    <col min="262" max="266" width="9.28515625" style="441" customWidth="1"/>
    <col min="267" max="267" width="8.85546875" style="441" customWidth="1"/>
    <col min="268" max="268" width="11.140625" style="441" customWidth="1"/>
    <col min="269" max="269" width="9.42578125" style="441" customWidth="1"/>
    <col min="270" max="270" width="12.5703125" style="441" customWidth="1"/>
    <col min="271" max="271" width="8.85546875" style="441" customWidth="1"/>
    <col min="272" max="272" width="11.7109375" style="441" customWidth="1"/>
    <col min="273" max="273" width="11.5703125" style="441" customWidth="1"/>
    <col min="274" max="274" width="13.140625" style="441" customWidth="1"/>
    <col min="275" max="276" width="9.140625" style="441"/>
    <col min="277" max="286" width="9.5703125" style="441" customWidth="1"/>
    <col min="287" max="513" width="9.140625" style="441"/>
    <col min="514" max="514" width="10.5703125" style="441" customWidth="1"/>
    <col min="515" max="515" width="11.5703125" style="441" customWidth="1"/>
    <col min="516" max="516" width="9.140625" style="441"/>
    <col min="517" max="517" width="8.140625" style="441" customWidth="1"/>
    <col min="518" max="522" width="9.28515625" style="441" customWidth="1"/>
    <col min="523" max="523" width="8.85546875" style="441" customWidth="1"/>
    <col min="524" max="524" width="11.140625" style="441" customWidth="1"/>
    <col min="525" max="525" width="9.42578125" style="441" customWidth="1"/>
    <col min="526" max="526" width="12.5703125" style="441" customWidth="1"/>
    <col min="527" max="527" width="8.85546875" style="441" customWidth="1"/>
    <col min="528" max="528" width="11.7109375" style="441" customWidth="1"/>
    <col min="529" max="529" width="11.5703125" style="441" customWidth="1"/>
    <col min="530" max="530" width="13.140625" style="441" customWidth="1"/>
    <col min="531" max="532" width="9.140625" style="441"/>
    <col min="533" max="542" width="9.5703125" style="441" customWidth="1"/>
    <col min="543" max="769" width="9.140625" style="441"/>
    <col min="770" max="770" width="10.5703125" style="441" customWidth="1"/>
    <col min="771" max="771" width="11.5703125" style="441" customWidth="1"/>
    <col min="772" max="772" width="9.140625" style="441"/>
    <col min="773" max="773" width="8.140625" style="441" customWidth="1"/>
    <col min="774" max="778" width="9.28515625" style="441" customWidth="1"/>
    <col min="779" max="779" width="8.85546875" style="441" customWidth="1"/>
    <col min="780" max="780" width="11.140625" style="441" customWidth="1"/>
    <col min="781" max="781" width="9.42578125" style="441" customWidth="1"/>
    <col min="782" max="782" width="12.5703125" style="441" customWidth="1"/>
    <col min="783" max="783" width="8.85546875" style="441" customWidth="1"/>
    <col min="784" max="784" width="11.7109375" style="441" customWidth="1"/>
    <col min="785" max="785" width="11.5703125" style="441" customWidth="1"/>
    <col min="786" max="786" width="13.140625" style="441" customWidth="1"/>
    <col min="787" max="788" width="9.140625" style="441"/>
    <col min="789" max="798" width="9.5703125" style="441" customWidth="1"/>
    <col min="799" max="1025" width="9.140625" style="441"/>
    <col min="1026" max="1026" width="10.5703125" style="441" customWidth="1"/>
    <col min="1027" max="1027" width="11.5703125" style="441" customWidth="1"/>
    <col min="1028" max="1028" width="9.140625" style="441"/>
    <col min="1029" max="1029" width="8.140625" style="441" customWidth="1"/>
    <col min="1030" max="1034" width="9.28515625" style="441" customWidth="1"/>
    <col min="1035" max="1035" width="8.85546875" style="441" customWidth="1"/>
    <col min="1036" max="1036" width="11.140625" style="441" customWidth="1"/>
    <col min="1037" max="1037" width="9.42578125" style="441" customWidth="1"/>
    <col min="1038" max="1038" width="12.5703125" style="441" customWidth="1"/>
    <col min="1039" max="1039" width="8.85546875" style="441" customWidth="1"/>
    <col min="1040" max="1040" width="11.7109375" style="441" customWidth="1"/>
    <col min="1041" max="1041" width="11.5703125" style="441" customWidth="1"/>
    <col min="1042" max="1042" width="13.140625" style="441" customWidth="1"/>
    <col min="1043" max="1044" width="9.140625" style="441"/>
    <col min="1045" max="1054" width="9.5703125" style="441" customWidth="1"/>
    <col min="1055" max="1281" width="9.140625" style="441"/>
    <col min="1282" max="1282" width="10.5703125" style="441" customWidth="1"/>
    <col min="1283" max="1283" width="11.5703125" style="441" customWidth="1"/>
    <col min="1284" max="1284" width="9.140625" style="441"/>
    <col min="1285" max="1285" width="8.140625" style="441" customWidth="1"/>
    <col min="1286" max="1290" width="9.28515625" style="441" customWidth="1"/>
    <col min="1291" max="1291" width="8.85546875" style="441" customWidth="1"/>
    <col min="1292" max="1292" width="11.140625" style="441" customWidth="1"/>
    <col min="1293" max="1293" width="9.42578125" style="441" customWidth="1"/>
    <col min="1294" max="1294" width="12.5703125" style="441" customWidth="1"/>
    <col min="1295" max="1295" width="8.85546875" style="441" customWidth="1"/>
    <col min="1296" max="1296" width="11.7109375" style="441" customWidth="1"/>
    <col min="1297" max="1297" width="11.5703125" style="441" customWidth="1"/>
    <col min="1298" max="1298" width="13.140625" style="441" customWidth="1"/>
    <col min="1299" max="1300" width="9.140625" style="441"/>
    <col min="1301" max="1310" width="9.5703125" style="441" customWidth="1"/>
    <col min="1311" max="1537" width="9.140625" style="441"/>
    <col min="1538" max="1538" width="10.5703125" style="441" customWidth="1"/>
    <col min="1539" max="1539" width="11.5703125" style="441" customWidth="1"/>
    <col min="1540" max="1540" width="9.140625" style="441"/>
    <col min="1541" max="1541" width="8.140625" style="441" customWidth="1"/>
    <col min="1542" max="1546" width="9.28515625" style="441" customWidth="1"/>
    <col min="1547" max="1547" width="8.85546875" style="441" customWidth="1"/>
    <col min="1548" max="1548" width="11.140625" style="441" customWidth="1"/>
    <col min="1549" max="1549" width="9.42578125" style="441" customWidth="1"/>
    <col min="1550" max="1550" width="12.5703125" style="441" customWidth="1"/>
    <col min="1551" max="1551" width="8.85546875" style="441" customWidth="1"/>
    <col min="1552" max="1552" width="11.7109375" style="441" customWidth="1"/>
    <col min="1553" max="1553" width="11.5703125" style="441" customWidth="1"/>
    <col min="1554" max="1554" width="13.140625" style="441" customWidth="1"/>
    <col min="1555" max="1556" width="9.140625" style="441"/>
    <col min="1557" max="1566" width="9.5703125" style="441" customWidth="1"/>
    <col min="1567" max="1793" width="9.140625" style="441"/>
    <col min="1794" max="1794" width="10.5703125" style="441" customWidth="1"/>
    <col min="1795" max="1795" width="11.5703125" style="441" customWidth="1"/>
    <col min="1796" max="1796" width="9.140625" style="441"/>
    <col min="1797" max="1797" width="8.140625" style="441" customWidth="1"/>
    <col min="1798" max="1802" width="9.28515625" style="441" customWidth="1"/>
    <col min="1803" max="1803" width="8.85546875" style="441" customWidth="1"/>
    <col min="1804" max="1804" width="11.140625" style="441" customWidth="1"/>
    <col min="1805" max="1805" width="9.42578125" style="441" customWidth="1"/>
    <col min="1806" max="1806" width="12.5703125" style="441" customWidth="1"/>
    <col min="1807" max="1807" width="8.85546875" style="441" customWidth="1"/>
    <col min="1808" max="1808" width="11.7109375" style="441" customWidth="1"/>
    <col min="1809" max="1809" width="11.5703125" style="441" customWidth="1"/>
    <col min="1810" max="1810" width="13.140625" style="441" customWidth="1"/>
    <col min="1811" max="1812" width="9.140625" style="441"/>
    <col min="1813" max="1822" width="9.5703125" style="441" customWidth="1"/>
    <col min="1823" max="2049" width="9.140625" style="441"/>
    <col min="2050" max="2050" width="10.5703125" style="441" customWidth="1"/>
    <col min="2051" max="2051" width="11.5703125" style="441" customWidth="1"/>
    <col min="2052" max="2052" width="9.140625" style="441"/>
    <col min="2053" max="2053" width="8.140625" style="441" customWidth="1"/>
    <col min="2054" max="2058" width="9.28515625" style="441" customWidth="1"/>
    <col min="2059" max="2059" width="8.85546875" style="441" customWidth="1"/>
    <col min="2060" max="2060" width="11.140625" style="441" customWidth="1"/>
    <col min="2061" max="2061" width="9.42578125" style="441" customWidth="1"/>
    <col min="2062" max="2062" width="12.5703125" style="441" customWidth="1"/>
    <col min="2063" max="2063" width="8.85546875" style="441" customWidth="1"/>
    <col min="2064" max="2064" width="11.7109375" style="441" customWidth="1"/>
    <col min="2065" max="2065" width="11.5703125" style="441" customWidth="1"/>
    <col min="2066" max="2066" width="13.140625" style="441" customWidth="1"/>
    <col min="2067" max="2068" width="9.140625" style="441"/>
    <col min="2069" max="2078" width="9.5703125" style="441" customWidth="1"/>
    <col min="2079" max="2305" width="9.140625" style="441"/>
    <col min="2306" max="2306" width="10.5703125" style="441" customWidth="1"/>
    <col min="2307" max="2307" width="11.5703125" style="441" customWidth="1"/>
    <col min="2308" max="2308" width="9.140625" style="441"/>
    <col min="2309" max="2309" width="8.140625" style="441" customWidth="1"/>
    <col min="2310" max="2314" width="9.28515625" style="441" customWidth="1"/>
    <col min="2315" max="2315" width="8.85546875" style="441" customWidth="1"/>
    <col min="2316" max="2316" width="11.140625" style="441" customWidth="1"/>
    <col min="2317" max="2317" width="9.42578125" style="441" customWidth="1"/>
    <col min="2318" max="2318" width="12.5703125" style="441" customWidth="1"/>
    <col min="2319" max="2319" width="8.85546875" style="441" customWidth="1"/>
    <col min="2320" max="2320" width="11.7109375" style="441" customWidth="1"/>
    <col min="2321" max="2321" width="11.5703125" style="441" customWidth="1"/>
    <col min="2322" max="2322" width="13.140625" style="441" customWidth="1"/>
    <col min="2323" max="2324" width="9.140625" style="441"/>
    <col min="2325" max="2334" width="9.5703125" style="441" customWidth="1"/>
    <col min="2335" max="2561" width="9.140625" style="441"/>
    <col min="2562" max="2562" width="10.5703125" style="441" customWidth="1"/>
    <col min="2563" max="2563" width="11.5703125" style="441" customWidth="1"/>
    <col min="2564" max="2564" width="9.140625" style="441"/>
    <col min="2565" max="2565" width="8.140625" style="441" customWidth="1"/>
    <col min="2566" max="2570" width="9.28515625" style="441" customWidth="1"/>
    <col min="2571" max="2571" width="8.85546875" style="441" customWidth="1"/>
    <col min="2572" max="2572" width="11.140625" style="441" customWidth="1"/>
    <col min="2573" max="2573" width="9.42578125" style="441" customWidth="1"/>
    <col min="2574" max="2574" width="12.5703125" style="441" customWidth="1"/>
    <col min="2575" max="2575" width="8.85546875" style="441" customWidth="1"/>
    <col min="2576" max="2576" width="11.7109375" style="441" customWidth="1"/>
    <col min="2577" max="2577" width="11.5703125" style="441" customWidth="1"/>
    <col min="2578" max="2578" width="13.140625" style="441" customWidth="1"/>
    <col min="2579" max="2580" width="9.140625" style="441"/>
    <col min="2581" max="2590" width="9.5703125" style="441" customWidth="1"/>
    <col min="2591" max="2817" width="9.140625" style="441"/>
    <col min="2818" max="2818" width="10.5703125" style="441" customWidth="1"/>
    <col min="2819" max="2819" width="11.5703125" style="441" customWidth="1"/>
    <col min="2820" max="2820" width="9.140625" style="441"/>
    <col min="2821" max="2821" width="8.140625" style="441" customWidth="1"/>
    <col min="2822" max="2826" width="9.28515625" style="441" customWidth="1"/>
    <col min="2827" max="2827" width="8.85546875" style="441" customWidth="1"/>
    <col min="2828" max="2828" width="11.140625" style="441" customWidth="1"/>
    <col min="2829" max="2829" width="9.42578125" style="441" customWidth="1"/>
    <col min="2830" max="2830" width="12.5703125" style="441" customWidth="1"/>
    <col min="2831" max="2831" width="8.85546875" style="441" customWidth="1"/>
    <col min="2832" max="2832" width="11.7109375" style="441" customWidth="1"/>
    <col min="2833" max="2833" width="11.5703125" style="441" customWidth="1"/>
    <col min="2834" max="2834" width="13.140625" style="441" customWidth="1"/>
    <col min="2835" max="2836" width="9.140625" style="441"/>
    <col min="2837" max="2846" width="9.5703125" style="441" customWidth="1"/>
    <col min="2847" max="3073" width="9.140625" style="441"/>
    <col min="3074" max="3074" width="10.5703125" style="441" customWidth="1"/>
    <col min="3075" max="3075" width="11.5703125" style="441" customWidth="1"/>
    <col min="3076" max="3076" width="9.140625" style="441"/>
    <col min="3077" max="3077" width="8.140625" style="441" customWidth="1"/>
    <col min="3078" max="3082" width="9.28515625" style="441" customWidth="1"/>
    <col min="3083" max="3083" width="8.85546875" style="441" customWidth="1"/>
    <col min="3084" max="3084" width="11.140625" style="441" customWidth="1"/>
    <col min="3085" max="3085" width="9.42578125" style="441" customWidth="1"/>
    <col min="3086" max="3086" width="12.5703125" style="441" customWidth="1"/>
    <col min="3087" max="3087" width="8.85546875" style="441" customWidth="1"/>
    <col min="3088" max="3088" width="11.7109375" style="441" customWidth="1"/>
    <col min="3089" max="3089" width="11.5703125" style="441" customWidth="1"/>
    <col min="3090" max="3090" width="13.140625" style="441" customWidth="1"/>
    <col min="3091" max="3092" width="9.140625" style="441"/>
    <col min="3093" max="3102" width="9.5703125" style="441" customWidth="1"/>
    <col min="3103" max="3329" width="9.140625" style="441"/>
    <col min="3330" max="3330" width="10.5703125" style="441" customWidth="1"/>
    <col min="3331" max="3331" width="11.5703125" style="441" customWidth="1"/>
    <col min="3332" max="3332" width="9.140625" style="441"/>
    <col min="3333" max="3333" width="8.140625" style="441" customWidth="1"/>
    <col min="3334" max="3338" width="9.28515625" style="441" customWidth="1"/>
    <col min="3339" max="3339" width="8.85546875" style="441" customWidth="1"/>
    <col min="3340" max="3340" width="11.140625" style="441" customWidth="1"/>
    <col min="3341" max="3341" width="9.42578125" style="441" customWidth="1"/>
    <col min="3342" max="3342" width="12.5703125" style="441" customWidth="1"/>
    <col min="3343" max="3343" width="8.85546875" style="441" customWidth="1"/>
    <col min="3344" max="3344" width="11.7109375" style="441" customWidth="1"/>
    <col min="3345" max="3345" width="11.5703125" style="441" customWidth="1"/>
    <col min="3346" max="3346" width="13.140625" style="441" customWidth="1"/>
    <col min="3347" max="3348" width="9.140625" style="441"/>
    <col min="3349" max="3358" width="9.5703125" style="441" customWidth="1"/>
    <col min="3359" max="3585" width="9.140625" style="441"/>
    <col min="3586" max="3586" width="10.5703125" style="441" customWidth="1"/>
    <col min="3587" max="3587" width="11.5703125" style="441" customWidth="1"/>
    <col min="3588" max="3588" width="9.140625" style="441"/>
    <col min="3589" max="3589" width="8.140625" style="441" customWidth="1"/>
    <col min="3590" max="3594" width="9.28515625" style="441" customWidth="1"/>
    <col min="3595" max="3595" width="8.85546875" style="441" customWidth="1"/>
    <col min="3596" max="3596" width="11.140625" style="441" customWidth="1"/>
    <col min="3597" max="3597" width="9.42578125" style="441" customWidth="1"/>
    <col min="3598" max="3598" width="12.5703125" style="441" customWidth="1"/>
    <col min="3599" max="3599" width="8.85546875" style="441" customWidth="1"/>
    <col min="3600" max="3600" width="11.7109375" style="441" customWidth="1"/>
    <col min="3601" max="3601" width="11.5703125" style="441" customWidth="1"/>
    <col min="3602" max="3602" width="13.140625" style="441" customWidth="1"/>
    <col min="3603" max="3604" width="9.140625" style="441"/>
    <col min="3605" max="3614" width="9.5703125" style="441" customWidth="1"/>
    <col min="3615" max="3841" width="9.140625" style="441"/>
    <col min="3842" max="3842" width="10.5703125" style="441" customWidth="1"/>
    <col min="3843" max="3843" width="11.5703125" style="441" customWidth="1"/>
    <col min="3844" max="3844" width="9.140625" style="441"/>
    <col min="3845" max="3845" width="8.140625" style="441" customWidth="1"/>
    <col min="3846" max="3850" width="9.28515625" style="441" customWidth="1"/>
    <col min="3851" max="3851" width="8.85546875" style="441" customWidth="1"/>
    <col min="3852" max="3852" width="11.140625" style="441" customWidth="1"/>
    <col min="3853" max="3853" width="9.42578125" style="441" customWidth="1"/>
    <col min="3854" max="3854" width="12.5703125" style="441" customWidth="1"/>
    <col min="3855" max="3855" width="8.85546875" style="441" customWidth="1"/>
    <col min="3856" max="3856" width="11.7109375" style="441" customWidth="1"/>
    <col min="3857" max="3857" width="11.5703125" style="441" customWidth="1"/>
    <col min="3858" max="3858" width="13.140625" style="441" customWidth="1"/>
    <col min="3859" max="3860" width="9.140625" style="441"/>
    <col min="3861" max="3870" width="9.5703125" style="441" customWidth="1"/>
    <col min="3871" max="4097" width="9.140625" style="441"/>
    <col min="4098" max="4098" width="10.5703125" style="441" customWidth="1"/>
    <col min="4099" max="4099" width="11.5703125" style="441" customWidth="1"/>
    <col min="4100" max="4100" width="9.140625" style="441"/>
    <col min="4101" max="4101" width="8.140625" style="441" customWidth="1"/>
    <col min="4102" max="4106" width="9.28515625" style="441" customWidth="1"/>
    <col min="4107" max="4107" width="8.85546875" style="441" customWidth="1"/>
    <col min="4108" max="4108" width="11.140625" style="441" customWidth="1"/>
    <col min="4109" max="4109" width="9.42578125" style="441" customWidth="1"/>
    <col min="4110" max="4110" width="12.5703125" style="441" customWidth="1"/>
    <col min="4111" max="4111" width="8.85546875" style="441" customWidth="1"/>
    <col min="4112" max="4112" width="11.7109375" style="441" customWidth="1"/>
    <col min="4113" max="4113" width="11.5703125" style="441" customWidth="1"/>
    <col min="4114" max="4114" width="13.140625" style="441" customWidth="1"/>
    <col min="4115" max="4116" width="9.140625" style="441"/>
    <col min="4117" max="4126" width="9.5703125" style="441" customWidth="1"/>
    <col min="4127" max="4353" width="9.140625" style="441"/>
    <col min="4354" max="4354" width="10.5703125" style="441" customWidth="1"/>
    <col min="4355" max="4355" width="11.5703125" style="441" customWidth="1"/>
    <col min="4356" max="4356" width="9.140625" style="441"/>
    <col min="4357" max="4357" width="8.140625" style="441" customWidth="1"/>
    <col min="4358" max="4362" width="9.28515625" style="441" customWidth="1"/>
    <col min="4363" max="4363" width="8.85546875" style="441" customWidth="1"/>
    <col min="4364" max="4364" width="11.140625" style="441" customWidth="1"/>
    <col min="4365" max="4365" width="9.42578125" style="441" customWidth="1"/>
    <col min="4366" max="4366" width="12.5703125" style="441" customWidth="1"/>
    <col min="4367" max="4367" width="8.85546875" style="441" customWidth="1"/>
    <col min="4368" max="4368" width="11.7109375" style="441" customWidth="1"/>
    <col min="4369" max="4369" width="11.5703125" style="441" customWidth="1"/>
    <col min="4370" max="4370" width="13.140625" style="441" customWidth="1"/>
    <col min="4371" max="4372" width="9.140625" style="441"/>
    <col min="4373" max="4382" width="9.5703125" style="441" customWidth="1"/>
    <col min="4383" max="4609" width="9.140625" style="441"/>
    <col min="4610" max="4610" width="10.5703125" style="441" customWidth="1"/>
    <col min="4611" max="4611" width="11.5703125" style="441" customWidth="1"/>
    <col min="4612" max="4612" width="9.140625" style="441"/>
    <col min="4613" max="4613" width="8.140625" style="441" customWidth="1"/>
    <col min="4614" max="4618" width="9.28515625" style="441" customWidth="1"/>
    <col min="4619" max="4619" width="8.85546875" style="441" customWidth="1"/>
    <col min="4620" max="4620" width="11.140625" style="441" customWidth="1"/>
    <col min="4621" max="4621" width="9.42578125" style="441" customWidth="1"/>
    <col min="4622" max="4622" width="12.5703125" style="441" customWidth="1"/>
    <col min="4623" max="4623" width="8.85546875" style="441" customWidth="1"/>
    <col min="4624" max="4624" width="11.7109375" style="441" customWidth="1"/>
    <col min="4625" max="4625" width="11.5703125" style="441" customWidth="1"/>
    <col min="4626" max="4626" width="13.140625" style="441" customWidth="1"/>
    <col min="4627" max="4628" width="9.140625" style="441"/>
    <col min="4629" max="4638" width="9.5703125" style="441" customWidth="1"/>
    <col min="4639" max="4865" width="9.140625" style="441"/>
    <col min="4866" max="4866" width="10.5703125" style="441" customWidth="1"/>
    <col min="4867" max="4867" width="11.5703125" style="441" customWidth="1"/>
    <col min="4868" max="4868" width="9.140625" style="441"/>
    <col min="4869" max="4869" width="8.140625" style="441" customWidth="1"/>
    <col min="4870" max="4874" width="9.28515625" style="441" customWidth="1"/>
    <col min="4875" max="4875" width="8.85546875" style="441" customWidth="1"/>
    <col min="4876" max="4876" width="11.140625" style="441" customWidth="1"/>
    <col min="4877" max="4877" width="9.42578125" style="441" customWidth="1"/>
    <col min="4878" max="4878" width="12.5703125" style="441" customWidth="1"/>
    <col min="4879" max="4879" width="8.85546875" style="441" customWidth="1"/>
    <col min="4880" max="4880" width="11.7109375" style="441" customWidth="1"/>
    <col min="4881" max="4881" width="11.5703125" style="441" customWidth="1"/>
    <col min="4882" max="4882" width="13.140625" style="441" customWidth="1"/>
    <col min="4883" max="4884" width="9.140625" style="441"/>
    <col min="4885" max="4894" width="9.5703125" style="441" customWidth="1"/>
    <col min="4895" max="5121" width="9.140625" style="441"/>
    <col min="5122" max="5122" width="10.5703125" style="441" customWidth="1"/>
    <col min="5123" max="5123" width="11.5703125" style="441" customWidth="1"/>
    <col min="5124" max="5124" width="9.140625" style="441"/>
    <col min="5125" max="5125" width="8.140625" style="441" customWidth="1"/>
    <col min="5126" max="5130" width="9.28515625" style="441" customWidth="1"/>
    <col min="5131" max="5131" width="8.85546875" style="441" customWidth="1"/>
    <col min="5132" max="5132" width="11.140625" style="441" customWidth="1"/>
    <col min="5133" max="5133" width="9.42578125" style="441" customWidth="1"/>
    <col min="5134" max="5134" width="12.5703125" style="441" customWidth="1"/>
    <col min="5135" max="5135" width="8.85546875" style="441" customWidth="1"/>
    <col min="5136" max="5136" width="11.7109375" style="441" customWidth="1"/>
    <col min="5137" max="5137" width="11.5703125" style="441" customWidth="1"/>
    <col min="5138" max="5138" width="13.140625" style="441" customWidth="1"/>
    <col min="5139" max="5140" width="9.140625" style="441"/>
    <col min="5141" max="5150" width="9.5703125" style="441" customWidth="1"/>
    <col min="5151" max="5377" width="9.140625" style="441"/>
    <col min="5378" max="5378" width="10.5703125" style="441" customWidth="1"/>
    <col min="5379" max="5379" width="11.5703125" style="441" customWidth="1"/>
    <col min="5380" max="5380" width="9.140625" style="441"/>
    <col min="5381" max="5381" width="8.140625" style="441" customWidth="1"/>
    <col min="5382" max="5386" width="9.28515625" style="441" customWidth="1"/>
    <col min="5387" max="5387" width="8.85546875" style="441" customWidth="1"/>
    <col min="5388" max="5388" width="11.140625" style="441" customWidth="1"/>
    <col min="5389" max="5389" width="9.42578125" style="441" customWidth="1"/>
    <col min="5390" max="5390" width="12.5703125" style="441" customWidth="1"/>
    <col min="5391" max="5391" width="8.85546875" style="441" customWidth="1"/>
    <col min="5392" max="5392" width="11.7109375" style="441" customWidth="1"/>
    <col min="5393" max="5393" width="11.5703125" style="441" customWidth="1"/>
    <col min="5394" max="5394" width="13.140625" style="441" customWidth="1"/>
    <col min="5395" max="5396" width="9.140625" style="441"/>
    <col min="5397" max="5406" width="9.5703125" style="441" customWidth="1"/>
    <col min="5407" max="5633" width="9.140625" style="441"/>
    <col min="5634" max="5634" width="10.5703125" style="441" customWidth="1"/>
    <col min="5635" max="5635" width="11.5703125" style="441" customWidth="1"/>
    <col min="5636" max="5636" width="9.140625" style="441"/>
    <col min="5637" max="5637" width="8.140625" style="441" customWidth="1"/>
    <col min="5638" max="5642" width="9.28515625" style="441" customWidth="1"/>
    <col min="5643" max="5643" width="8.85546875" style="441" customWidth="1"/>
    <col min="5644" max="5644" width="11.140625" style="441" customWidth="1"/>
    <col min="5645" max="5645" width="9.42578125" style="441" customWidth="1"/>
    <col min="5646" max="5646" width="12.5703125" style="441" customWidth="1"/>
    <col min="5647" max="5647" width="8.85546875" style="441" customWidth="1"/>
    <col min="5648" max="5648" width="11.7109375" style="441" customWidth="1"/>
    <col min="5649" max="5649" width="11.5703125" style="441" customWidth="1"/>
    <col min="5650" max="5650" width="13.140625" style="441" customWidth="1"/>
    <col min="5651" max="5652" width="9.140625" style="441"/>
    <col min="5653" max="5662" width="9.5703125" style="441" customWidth="1"/>
    <col min="5663" max="5889" width="9.140625" style="441"/>
    <col min="5890" max="5890" width="10.5703125" style="441" customWidth="1"/>
    <col min="5891" max="5891" width="11.5703125" style="441" customWidth="1"/>
    <col min="5892" max="5892" width="9.140625" style="441"/>
    <col min="5893" max="5893" width="8.140625" style="441" customWidth="1"/>
    <col min="5894" max="5898" width="9.28515625" style="441" customWidth="1"/>
    <col min="5899" max="5899" width="8.85546875" style="441" customWidth="1"/>
    <col min="5900" max="5900" width="11.140625" style="441" customWidth="1"/>
    <col min="5901" max="5901" width="9.42578125" style="441" customWidth="1"/>
    <col min="5902" max="5902" width="12.5703125" style="441" customWidth="1"/>
    <col min="5903" max="5903" width="8.85546875" style="441" customWidth="1"/>
    <col min="5904" max="5904" width="11.7109375" style="441" customWidth="1"/>
    <col min="5905" max="5905" width="11.5703125" style="441" customWidth="1"/>
    <col min="5906" max="5906" width="13.140625" style="441" customWidth="1"/>
    <col min="5907" max="5908" width="9.140625" style="441"/>
    <col min="5909" max="5918" width="9.5703125" style="441" customWidth="1"/>
    <col min="5919" max="6145" width="9.140625" style="441"/>
    <col min="6146" max="6146" width="10.5703125" style="441" customWidth="1"/>
    <col min="6147" max="6147" width="11.5703125" style="441" customWidth="1"/>
    <col min="6148" max="6148" width="9.140625" style="441"/>
    <col min="6149" max="6149" width="8.140625" style="441" customWidth="1"/>
    <col min="6150" max="6154" width="9.28515625" style="441" customWidth="1"/>
    <col min="6155" max="6155" width="8.85546875" style="441" customWidth="1"/>
    <col min="6156" max="6156" width="11.140625" style="441" customWidth="1"/>
    <col min="6157" max="6157" width="9.42578125" style="441" customWidth="1"/>
    <col min="6158" max="6158" width="12.5703125" style="441" customWidth="1"/>
    <col min="6159" max="6159" width="8.85546875" style="441" customWidth="1"/>
    <col min="6160" max="6160" width="11.7109375" style="441" customWidth="1"/>
    <col min="6161" max="6161" width="11.5703125" style="441" customWidth="1"/>
    <col min="6162" max="6162" width="13.140625" style="441" customWidth="1"/>
    <col min="6163" max="6164" width="9.140625" style="441"/>
    <col min="6165" max="6174" width="9.5703125" style="441" customWidth="1"/>
    <col min="6175" max="6401" width="9.140625" style="441"/>
    <col min="6402" max="6402" width="10.5703125" style="441" customWidth="1"/>
    <col min="6403" max="6403" width="11.5703125" style="441" customWidth="1"/>
    <col min="6404" max="6404" width="9.140625" style="441"/>
    <col min="6405" max="6405" width="8.140625" style="441" customWidth="1"/>
    <col min="6406" max="6410" width="9.28515625" style="441" customWidth="1"/>
    <col min="6411" max="6411" width="8.85546875" style="441" customWidth="1"/>
    <col min="6412" max="6412" width="11.140625" style="441" customWidth="1"/>
    <col min="6413" max="6413" width="9.42578125" style="441" customWidth="1"/>
    <col min="6414" max="6414" width="12.5703125" style="441" customWidth="1"/>
    <col min="6415" max="6415" width="8.85546875" style="441" customWidth="1"/>
    <col min="6416" max="6416" width="11.7109375" style="441" customWidth="1"/>
    <col min="6417" max="6417" width="11.5703125" style="441" customWidth="1"/>
    <col min="6418" max="6418" width="13.140625" style="441" customWidth="1"/>
    <col min="6419" max="6420" width="9.140625" style="441"/>
    <col min="6421" max="6430" width="9.5703125" style="441" customWidth="1"/>
    <col min="6431" max="6657" width="9.140625" style="441"/>
    <col min="6658" max="6658" width="10.5703125" style="441" customWidth="1"/>
    <col min="6659" max="6659" width="11.5703125" style="441" customWidth="1"/>
    <col min="6660" max="6660" width="9.140625" style="441"/>
    <col min="6661" max="6661" width="8.140625" style="441" customWidth="1"/>
    <col min="6662" max="6666" width="9.28515625" style="441" customWidth="1"/>
    <col min="6667" max="6667" width="8.85546875" style="441" customWidth="1"/>
    <col min="6668" max="6668" width="11.140625" style="441" customWidth="1"/>
    <col min="6669" max="6669" width="9.42578125" style="441" customWidth="1"/>
    <col min="6670" max="6670" width="12.5703125" style="441" customWidth="1"/>
    <col min="6671" max="6671" width="8.85546875" style="441" customWidth="1"/>
    <col min="6672" max="6672" width="11.7109375" style="441" customWidth="1"/>
    <col min="6673" max="6673" width="11.5703125" style="441" customWidth="1"/>
    <col min="6674" max="6674" width="13.140625" style="441" customWidth="1"/>
    <col min="6675" max="6676" width="9.140625" style="441"/>
    <col min="6677" max="6686" width="9.5703125" style="441" customWidth="1"/>
    <col min="6687" max="6913" width="9.140625" style="441"/>
    <col min="6914" max="6914" width="10.5703125" style="441" customWidth="1"/>
    <col min="6915" max="6915" width="11.5703125" style="441" customWidth="1"/>
    <col min="6916" max="6916" width="9.140625" style="441"/>
    <col min="6917" max="6917" width="8.140625" style="441" customWidth="1"/>
    <col min="6918" max="6922" width="9.28515625" style="441" customWidth="1"/>
    <col min="6923" max="6923" width="8.85546875" style="441" customWidth="1"/>
    <col min="6924" max="6924" width="11.140625" style="441" customWidth="1"/>
    <col min="6925" max="6925" width="9.42578125" style="441" customWidth="1"/>
    <col min="6926" max="6926" width="12.5703125" style="441" customWidth="1"/>
    <col min="6927" max="6927" width="8.85546875" style="441" customWidth="1"/>
    <col min="6928" max="6928" width="11.7109375" style="441" customWidth="1"/>
    <col min="6929" max="6929" width="11.5703125" style="441" customWidth="1"/>
    <col min="6930" max="6930" width="13.140625" style="441" customWidth="1"/>
    <col min="6931" max="6932" width="9.140625" style="441"/>
    <col min="6933" max="6942" width="9.5703125" style="441" customWidth="1"/>
    <col min="6943" max="7169" width="9.140625" style="441"/>
    <col min="7170" max="7170" width="10.5703125" style="441" customWidth="1"/>
    <col min="7171" max="7171" width="11.5703125" style="441" customWidth="1"/>
    <col min="7172" max="7172" width="9.140625" style="441"/>
    <col min="7173" max="7173" width="8.140625" style="441" customWidth="1"/>
    <col min="7174" max="7178" width="9.28515625" style="441" customWidth="1"/>
    <col min="7179" max="7179" width="8.85546875" style="441" customWidth="1"/>
    <col min="7180" max="7180" width="11.140625" style="441" customWidth="1"/>
    <col min="7181" max="7181" width="9.42578125" style="441" customWidth="1"/>
    <col min="7182" max="7182" width="12.5703125" style="441" customWidth="1"/>
    <col min="7183" max="7183" width="8.85546875" style="441" customWidth="1"/>
    <col min="7184" max="7184" width="11.7109375" style="441" customWidth="1"/>
    <col min="7185" max="7185" width="11.5703125" style="441" customWidth="1"/>
    <col min="7186" max="7186" width="13.140625" style="441" customWidth="1"/>
    <col min="7187" max="7188" width="9.140625" style="441"/>
    <col min="7189" max="7198" width="9.5703125" style="441" customWidth="1"/>
    <col min="7199" max="7425" width="9.140625" style="441"/>
    <col min="7426" max="7426" width="10.5703125" style="441" customWidth="1"/>
    <col min="7427" max="7427" width="11.5703125" style="441" customWidth="1"/>
    <col min="7428" max="7428" width="9.140625" style="441"/>
    <col min="7429" max="7429" width="8.140625" style="441" customWidth="1"/>
    <col min="7430" max="7434" width="9.28515625" style="441" customWidth="1"/>
    <col min="7435" max="7435" width="8.85546875" style="441" customWidth="1"/>
    <col min="7436" max="7436" width="11.140625" style="441" customWidth="1"/>
    <col min="7437" max="7437" width="9.42578125" style="441" customWidth="1"/>
    <col min="7438" max="7438" width="12.5703125" style="441" customWidth="1"/>
    <col min="7439" max="7439" width="8.85546875" style="441" customWidth="1"/>
    <col min="7440" max="7440" width="11.7109375" style="441" customWidth="1"/>
    <col min="7441" max="7441" width="11.5703125" style="441" customWidth="1"/>
    <col min="7442" max="7442" width="13.140625" style="441" customWidth="1"/>
    <col min="7443" max="7444" width="9.140625" style="441"/>
    <col min="7445" max="7454" width="9.5703125" style="441" customWidth="1"/>
    <col min="7455" max="7681" width="9.140625" style="441"/>
    <col min="7682" max="7682" width="10.5703125" style="441" customWidth="1"/>
    <col min="7683" max="7683" width="11.5703125" style="441" customWidth="1"/>
    <col min="7684" max="7684" width="9.140625" style="441"/>
    <col min="7685" max="7685" width="8.140625" style="441" customWidth="1"/>
    <col min="7686" max="7690" width="9.28515625" style="441" customWidth="1"/>
    <col min="7691" max="7691" width="8.85546875" style="441" customWidth="1"/>
    <col min="7692" max="7692" width="11.140625" style="441" customWidth="1"/>
    <col min="7693" max="7693" width="9.42578125" style="441" customWidth="1"/>
    <col min="7694" max="7694" width="12.5703125" style="441" customWidth="1"/>
    <col min="7695" max="7695" width="8.85546875" style="441" customWidth="1"/>
    <col min="7696" max="7696" width="11.7109375" style="441" customWidth="1"/>
    <col min="7697" max="7697" width="11.5703125" style="441" customWidth="1"/>
    <col min="7698" max="7698" width="13.140625" style="441" customWidth="1"/>
    <col min="7699" max="7700" width="9.140625" style="441"/>
    <col min="7701" max="7710" width="9.5703125" style="441" customWidth="1"/>
    <col min="7711" max="7937" width="9.140625" style="441"/>
    <col min="7938" max="7938" width="10.5703125" style="441" customWidth="1"/>
    <col min="7939" max="7939" width="11.5703125" style="441" customWidth="1"/>
    <col min="7940" max="7940" width="9.140625" style="441"/>
    <col min="7941" max="7941" width="8.140625" style="441" customWidth="1"/>
    <col min="7942" max="7946" width="9.28515625" style="441" customWidth="1"/>
    <col min="7947" max="7947" width="8.85546875" style="441" customWidth="1"/>
    <col min="7948" max="7948" width="11.140625" style="441" customWidth="1"/>
    <col min="7949" max="7949" width="9.42578125" style="441" customWidth="1"/>
    <col min="7950" max="7950" width="12.5703125" style="441" customWidth="1"/>
    <col min="7951" max="7951" width="8.85546875" style="441" customWidth="1"/>
    <col min="7952" max="7952" width="11.7109375" style="441" customWidth="1"/>
    <col min="7953" max="7953" width="11.5703125" style="441" customWidth="1"/>
    <col min="7954" max="7954" width="13.140625" style="441" customWidth="1"/>
    <col min="7955" max="7956" width="9.140625" style="441"/>
    <col min="7957" max="7966" width="9.5703125" style="441" customWidth="1"/>
    <col min="7967" max="8193" width="9.140625" style="441"/>
    <col min="8194" max="8194" width="10.5703125" style="441" customWidth="1"/>
    <col min="8195" max="8195" width="11.5703125" style="441" customWidth="1"/>
    <col min="8196" max="8196" width="9.140625" style="441"/>
    <col min="8197" max="8197" width="8.140625" style="441" customWidth="1"/>
    <col min="8198" max="8202" width="9.28515625" style="441" customWidth="1"/>
    <col min="8203" max="8203" width="8.85546875" style="441" customWidth="1"/>
    <col min="8204" max="8204" width="11.140625" style="441" customWidth="1"/>
    <col min="8205" max="8205" width="9.42578125" style="441" customWidth="1"/>
    <col min="8206" max="8206" width="12.5703125" style="441" customWidth="1"/>
    <col min="8207" max="8207" width="8.85546875" style="441" customWidth="1"/>
    <col min="8208" max="8208" width="11.7109375" style="441" customWidth="1"/>
    <col min="8209" max="8209" width="11.5703125" style="441" customWidth="1"/>
    <col min="8210" max="8210" width="13.140625" style="441" customWidth="1"/>
    <col min="8211" max="8212" width="9.140625" style="441"/>
    <col min="8213" max="8222" width="9.5703125" style="441" customWidth="1"/>
    <col min="8223" max="8449" width="9.140625" style="441"/>
    <col min="8450" max="8450" width="10.5703125" style="441" customWidth="1"/>
    <col min="8451" max="8451" width="11.5703125" style="441" customWidth="1"/>
    <col min="8452" max="8452" width="9.140625" style="441"/>
    <col min="8453" max="8453" width="8.140625" style="441" customWidth="1"/>
    <col min="8454" max="8458" width="9.28515625" style="441" customWidth="1"/>
    <col min="8459" max="8459" width="8.85546875" style="441" customWidth="1"/>
    <col min="8460" max="8460" width="11.140625" style="441" customWidth="1"/>
    <col min="8461" max="8461" width="9.42578125" style="441" customWidth="1"/>
    <col min="8462" max="8462" width="12.5703125" style="441" customWidth="1"/>
    <col min="8463" max="8463" width="8.85546875" style="441" customWidth="1"/>
    <col min="8464" max="8464" width="11.7109375" style="441" customWidth="1"/>
    <col min="8465" max="8465" width="11.5703125" style="441" customWidth="1"/>
    <col min="8466" max="8466" width="13.140625" style="441" customWidth="1"/>
    <col min="8467" max="8468" width="9.140625" style="441"/>
    <col min="8469" max="8478" width="9.5703125" style="441" customWidth="1"/>
    <col min="8479" max="8705" width="9.140625" style="441"/>
    <col min="8706" max="8706" width="10.5703125" style="441" customWidth="1"/>
    <col min="8707" max="8707" width="11.5703125" style="441" customWidth="1"/>
    <col min="8708" max="8708" width="9.140625" style="441"/>
    <col min="8709" max="8709" width="8.140625" style="441" customWidth="1"/>
    <col min="8710" max="8714" width="9.28515625" style="441" customWidth="1"/>
    <col min="8715" max="8715" width="8.85546875" style="441" customWidth="1"/>
    <col min="8716" max="8716" width="11.140625" style="441" customWidth="1"/>
    <col min="8717" max="8717" width="9.42578125" style="441" customWidth="1"/>
    <col min="8718" max="8718" width="12.5703125" style="441" customWidth="1"/>
    <col min="8719" max="8719" width="8.85546875" style="441" customWidth="1"/>
    <col min="8720" max="8720" width="11.7109375" style="441" customWidth="1"/>
    <col min="8721" max="8721" width="11.5703125" style="441" customWidth="1"/>
    <col min="8722" max="8722" width="13.140625" style="441" customWidth="1"/>
    <col min="8723" max="8724" width="9.140625" style="441"/>
    <col min="8725" max="8734" width="9.5703125" style="441" customWidth="1"/>
    <col min="8735" max="8961" width="9.140625" style="441"/>
    <col min="8962" max="8962" width="10.5703125" style="441" customWidth="1"/>
    <col min="8963" max="8963" width="11.5703125" style="441" customWidth="1"/>
    <col min="8964" max="8964" width="9.140625" style="441"/>
    <col min="8965" max="8965" width="8.140625" style="441" customWidth="1"/>
    <col min="8966" max="8970" width="9.28515625" style="441" customWidth="1"/>
    <col min="8971" max="8971" width="8.85546875" style="441" customWidth="1"/>
    <col min="8972" max="8972" width="11.140625" style="441" customWidth="1"/>
    <col min="8973" max="8973" width="9.42578125" style="441" customWidth="1"/>
    <col min="8974" max="8974" width="12.5703125" style="441" customWidth="1"/>
    <col min="8975" max="8975" width="8.85546875" style="441" customWidth="1"/>
    <col min="8976" max="8976" width="11.7109375" style="441" customWidth="1"/>
    <col min="8977" max="8977" width="11.5703125" style="441" customWidth="1"/>
    <col min="8978" max="8978" width="13.140625" style="441" customWidth="1"/>
    <col min="8979" max="8980" width="9.140625" style="441"/>
    <col min="8981" max="8990" width="9.5703125" style="441" customWidth="1"/>
    <col min="8991" max="9217" width="9.140625" style="441"/>
    <col min="9218" max="9218" width="10.5703125" style="441" customWidth="1"/>
    <col min="9219" max="9219" width="11.5703125" style="441" customWidth="1"/>
    <col min="9220" max="9220" width="9.140625" style="441"/>
    <col min="9221" max="9221" width="8.140625" style="441" customWidth="1"/>
    <col min="9222" max="9226" width="9.28515625" style="441" customWidth="1"/>
    <col min="9227" max="9227" width="8.85546875" style="441" customWidth="1"/>
    <col min="9228" max="9228" width="11.140625" style="441" customWidth="1"/>
    <col min="9229" max="9229" width="9.42578125" style="441" customWidth="1"/>
    <col min="9230" max="9230" width="12.5703125" style="441" customWidth="1"/>
    <col min="9231" max="9231" width="8.85546875" style="441" customWidth="1"/>
    <col min="9232" max="9232" width="11.7109375" style="441" customWidth="1"/>
    <col min="9233" max="9233" width="11.5703125" style="441" customWidth="1"/>
    <col min="9234" max="9234" width="13.140625" style="441" customWidth="1"/>
    <col min="9235" max="9236" width="9.140625" style="441"/>
    <col min="9237" max="9246" width="9.5703125" style="441" customWidth="1"/>
    <col min="9247" max="9473" width="9.140625" style="441"/>
    <col min="9474" max="9474" width="10.5703125" style="441" customWidth="1"/>
    <col min="9475" max="9475" width="11.5703125" style="441" customWidth="1"/>
    <col min="9476" max="9476" width="9.140625" style="441"/>
    <col min="9477" max="9477" width="8.140625" style="441" customWidth="1"/>
    <col min="9478" max="9482" width="9.28515625" style="441" customWidth="1"/>
    <col min="9483" max="9483" width="8.85546875" style="441" customWidth="1"/>
    <col min="9484" max="9484" width="11.140625" style="441" customWidth="1"/>
    <col min="9485" max="9485" width="9.42578125" style="441" customWidth="1"/>
    <col min="9486" max="9486" width="12.5703125" style="441" customWidth="1"/>
    <col min="9487" max="9487" width="8.85546875" style="441" customWidth="1"/>
    <col min="9488" max="9488" width="11.7109375" style="441" customWidth="1"/>
    <col min="9489" max="9489" width="11.5703125" style="441" customWidth="1"/>
    <col min="9490" max="9490" width="13.140625" style="441" customWidth="1"/>
    <col min="9491" max="9492" width="9.140625" style="441"/>
    <col min="9493" max="9502" width="9.5703125" style="441" customWidth="1"/>
    <col min="9503" max="9729" width="9.140625" style="441"/>
    <col min="9730" max="9730" width="10.5703125" style="441" customWidth="1"/>
    <col min="9731" max="9731" width="11.5703125" style="441" customWidth="1"/>
    <col min="9732" max="9732" width="9.140625" style="441"/>
    <col min="9733" max="9733" width="8.140625" style="441" customWidth="1"/>
    <col min="9734" max="9738" width="9.28515625" style="441" customWidth="1"/>
    <col min="9739" max="9739" width="8.85546875" style="441" customWidth="1"/>
    <col min="9740" max="9740" width="11.140625" style="441" customWidth="1"/>
    <col min="9741" max="9741" width="9.42578125" style="441" customWidth="1"/>
    <col min="9742" max="9742" width="12.5703125" style="441" customWidth="1"/>
    <col min="9743" max="9743" width="8.85546875" style="441" customWidth="1"/>
    <col min="9744" max="9744" width="11.7109375" style="441" customWidth="1"/>
    <col min="9745" max="9745" width="11.5703125" style="441" customWidth="1"/>
    <col min="9746" max="9746" width="13.140625" style="441" customWidth="1"/>
    <col min="9747" max="9748" width="9.140625" style="441"/>
    <col min="9749" max="9758" width="9.5703125" style="441" customWidth="1"/>
    <col min="9759" max="9985" width="9.140625" style="441"/>
    <col min="9986" max="9986" width="10.5703125" style="441" customWidth="1"/>
    <col min="9987" max="9987" width="11.5703125" style="441" customWidth="1"/>
    <col min="9988" max="9988" width="9.140625" style="441"/>
    <col min="9989" max="9989" width="8.140625" style="441" customWidth="1"/>
    <col min="9990" max="9994" width="9.28515625" style="441" customWidth="1"/>
    <col min="9995" max="9995" width="8.85546875" style="441" customWidth="1"/>
    <col min="9996" max="9996" width="11.140625" style="441" customWidth="1"/>
    <col min="9997" max="9997" width="9.42578125" style="441" customWidth="1"/>
    <col min="9998" max="9998" width="12.5703125" style="441" customWidth="1"/>
    <col min="9999" max="9999" width="8.85546875" style="441" customWidth="1"/>
    <col min="10000" max="10000" width="11.7109375" style="441" customWidth="1"/>
    <col min="10001" max="10001" width="11.5703125" style="441" customWidth="1"/>
    <col min="10002" max="10002" width="13.140625" style="441" customWidth="1"/>
    <col min="10003" max="10004" width="9.140625" style="441"/>
    <col min="10005" max="10014" width="9.5703125" style="441" customWidth="1"/>
    <col min="10015" max="10241" width="9.140625" style="441"/>
    <col min="10242" max="10242" width="10.5703125" style="441" customWidth="1"/>
    <col min="10243" max="10243" width="11.5703125" style="441" customWidth="1"/>
    <col min="10244" max="10244" width="9.140625" style="441"/>
    <col min="10245" max="10245" width="8.140625" style="441" customWidth="1"/>
    <col min="10246" max="10250" width="9.28515625" style="441" customWidth="1"/>
    <col min="10251" max="10251" width="8.85546875" style="441" customWidth="1"/>
    <col min="10252" max="10252" width="11.140625" style="441" customWidth="1"/>
    <col min="10253" max="10253" width="9.42578125" style="441" customWidth="1"/>
    <col min="10254" max="10254" width="12.5703125" style="441" customWidth="1"/>
    <col min="10255" max="10255" width="8.85546875" style="441" customWidth="1"/>
    <col min="10256" max="10256" width="11.7109375" style="441" customWidth="1"/>
    <col min="10257" max="10257" width="11.5703125" style="441" customWidth="1"/>
    <col min="10258" max="10258" width="13.140625" style="441" customWidth="1"/>
    <col min="10259" max="10260" width="9.140625" style="441"/>
    <col min="10261" max="10270" width="9.5703125" style="441" customWidth="1"/>
    <col min="10271" max="10497" width="9.140625" style="441"/>
    <col min="10498" max="10498" width="10.5703125" style="441" customWidth="1"/>
    <col min="10499" max="10499" width="11.5703125" style="441" customWidth="1"/>
    <col min="10500" max="10500" width="9.140625" style="441"/>
    <col min="10501" max="10501" width="8.140625" style="441" customWidth="1"/>
    <col min="10502" max="10506" width="9.28515625" style="441" customWidth="1"/>
    <col min="10507" max="10507" width="8.85546875" style="441" customWidth="1"/>
    <col min="10508" max="10508" width="11.140625" style="441" customWidth="1"/>
    <col min="10509" max="10509" width="9.42578125" style="441" customWidth="1"/>
    <col min="10510" max="10510" width="12.5703125" style="441" customWidth="1"/>
    <col min="10511" max="10511" width="8.85546875" style="441" customWidth="1"/>
    <col min="10512" max="10512" width="11.7109375" style="441" customWidth="1"/>
    <col min="10513" max="10513" width="11.5703125" style="441" customWidth="1"/>
    <col min="10514" max="10514" width="13.140625" style="441" customWidth="1"/>
    <col min="10515" max="10516" width="9.140625" style="441"/>
    <col min="10517" max="10526" width="9.5703125" style="441" customWidth="1"/>
    <col min="10527" max="10753" width="9.140625" style="441"/>
    <col min="10754" max="10754" width="10.5703125" style="441" customWidth="1"/>
    <col min="10755" max="10755" width="11.5703125" style="441" customWidth="1"/>
    <col min="10756" max="10756" width="9.140625" style="441"/>
    <col min="10757" max="10757" width="8.140625" style="441" customWidth="1"/>
    <col min="10758" max="10762" width="9.28515625" style="441" customWidth="1"/>
    <col min="10763" max="10763" width="8.85546875" style="441" customWidth="1"/>
    <col min="10764" max="10764" width="11.140625" style="441" customWidth="1"/>
    <col min="10765" max="10765" width="9.42578125" style="441" customWidth="1"/>
    <col min="10766" max="10766" width="12.5703125" style="441" customWidth="1"/>
    <col min="10767" max="10767" width="8.85546875" style="441" customWidth="1"/>
    <col min="10768" max="10768" width="11.7109375" style="441" customWidth="1"/>
    <col min="10769" max="10769" width="11.5703125" style="441" customWidth="1"/>
    <col min="10770" max="10770" width="13.140625" style="441" customWidth="1"/>
    <col min="10771" max="10772" width="9.140625" style="441"/>
    <col min="10773" max="10782" width="9.5703125" style="441" customWidth="1"/>
    <col min="10783" max="11009" width="9.140625" style="441"/>
    <col min="11010" max="11010" width="10.5703125" style="441" customWidth="1"/>
    <col min="11011" max="11011" width="11.5703125" style="441" customWidth="1"/>
    <col min="11012" max="11012" width="9.140625" style="441"/>
    <col min="11013" max="11013" width="8.140625" style="441" customWidth="1"/>
    <col min="11014" max="11018" width="9.28515625" style="441" customWidth="1"/>
    <col min="11019" max="11019" width="8.85546875" style="441" customWidth="1"/>
    <col min="11020" max="11020" width="11.140625" style="441" customWidth="1"/>
    <col min="11021" max="11021" width="9.42578125" style="441" customWidth="1"/>
    <col min="11022" max="11022" width="12.5703125" style="441" customWidth="1"/>
    <col min="11023" max="11023" width="8.85546875" style="441" customWidth="1"/>
    <col min="11024" max="11024" width="11.7109375" style="441" customWidth="1"/>
    <col min="11025" max="11025" width="11.5703125" style="441" customWidth="1"/>
    <col min="11026" max="11026" width="13.140625" style="441" customWidth="1"/>
    <col min="11027" max="11028" width="9.140625" style="441"/>
    <col min="11029" max="11038" width="9.5703125" style="441" customWidth="1"/>
    <col min="11039" max="11265" width="9.140625" style="441"/>
    <col min="11266" max="11266" width="10.5703125" style="441" customWidth="1"/>
    <col min="11267" max="11267" width="11.5703125" style="441" customWidth="1"/>
    <col min="11268" max="11268" width="9.140625" style="441"/>
    <col min="11269" max="11269" width="8.140625" style="441" customWidth="1"/>
    <col min="11270" max="11274" width="9.28515625" style="441" customWidth="1"/>
    <col min="11275" max="11275" width="8.85546875" style="441" customWidth="1"/>
    <col min="11276" max="11276" width="11.140625" style="441" customWidth="1"/>
    <col min="11277" max="11277" width="9.42578125" style="441" customWidth="1"/>
    <col min="11278" max="11278" width="12.5703125" style="441" customWidth="1"/>
    <col min="11279" max="11279" width="8.85546875" style="441" customWidth="1"/>
    <col min="11280" max="11280" width="11.7109375" style="441" customWidth="1"/>
    <col min="11281" max="11281" width="11.5703125" style="441" customWidth="1"/>
    <col min="11282" max="11282" width="13.140625" style="441" customWidth="1"/>
    <col min="11283" max="11284" width="9.140625" style="441"/>
    <col min="11285" max="11294" width="9.5703125" style="441" customWidth="1"/>
    <col min="11295" max="11521" width="9.140625" style="441"/>
    <col min="11522" max="11522" width="10.5703125" style="441" customWidth="1"/>
    <col min="11523" max="11523" width="11.5703125" style="441" customWidth="1"/>
    <col min="11524" max="11524" width="9.140625" style="441"/>
    <col min="11525" max="11525" width="8.140625" style="441" customWidth="1"/>
    <col min="11526" max="11530" width="9.28515625" style="441" customWidth="1"/>
    <col min="11531" max="11531" width="8.85546875" style="441" customWidth="1"/>
    <col min="11532" max="11532" width="11.140625" style="441" customWidth="1"/>
    <col min="11533" max="11533" width="9.42578125" style="441" customWidth="1"/>
    <col min="11534" max="11534" width="12.5703125" style="441" customWidth="1"/>
    <col min="11535" max="11535" width="8.85546875" style="441" customWidth="1"/>
    <col min="11536" max="11536" width="11.7109375" style="441" customWidth="1"/>
    <col min="11537" max="11537" width="11.5703125" style="441" customWidth="1"/>
    <col min="11538" max="11538" width="13.140625" style="441" customWidth="1"/>
    <col min="11539" max="11540" width="9.140625" style="441"/>
    <col min="11541" max="11550" width="9.5703125" style="441" customWidth="1"/>
    <col min="11551" max="11777" width="9.140625" style="441"/>
    <col min="11778" max="11778" width="10.5703125" style="441" customWidth="1"/>
    <col min="11779" max="11779" width="11.5703125" style="441" customWidth="1"/>
    <col min="11780" max="11780" width="9.140625" style="441"/>
    <col min="11781" max="11781" width="8.140625" style="441" customWidth="1"/>
    <col min="11782" max="11786" width="9.28515625" style="441" customWidth="1"/>
    <col min="11787" max="11787" width="8.85546875" style="441" customWidth="1"/>
    <col min="11788" max="11788" width="11.140625" style="441" customWidth="1"/>
    <col min="11789" max="11789" width="9.42578125" style="441" customWidth="1"/>
    <col min="11790" max="11790" width="12.5703125" style="441" customWidth="1"/>
    <col min="11791" max="11791" width="8.85546875" style="441" customWidth="1"/>
    <col min="11792" max="11792" width="11.7109375" style="441" customWidth="1"/>
    <col min="11793" max="11793" width="11.5703125" style="441" customWidth="1"/>
    <col min="11794" max="11794" width="13.140625" style="441" customWidth="1"/>
    <col min="11795" max="11796" width="9.140625" style="441"/>
    <col min="11797" max="11806" width="9.5703125" style="441" customWidth="1"/>
    <col min="11807" max="12033" width="9.140625" style="441"/>
    <col min="12034" max="12034" width="10.5703125" style="441" customWidth="1"/>
    <col min="12035" max="12035" width="11.5703125" style="441" customWidth="1"/>
    <col min="12036" max="12036" width="9.140625" style="441"/>
    <col min="12037" max="12037" width="8.140625" style="441" customWidth="1"/>
    <col min="12038" max="12042" width="9.28515625" style="441" customWidth="1"/>
    <col min="12043" max="12043" width="8.85546875" style="441" customWidth="1"/>
    <col min="12044" max="12044" width="11.140625" style="441" customWidth="1"/>
    <col min="12045" max="12045" width="9.42578125" style="441" customWidth="1"/>
    <col min="12046" max="12046" width="12.5703125" style="441" customWidth="1"/>
    <col min="12047" max="12047" width="8.85546875" style="441" customWidth="1"/>
    <col min="12048" max="12048" width="11.7109375" style="441" customWidth="1"/>
    <col min="12049" max="12049" width="11.5703125" style="441" customWidth="1"/>
    <col min="12050" max="12050" width="13.140625" style="441" customWidth="1"/>
    <col min="12051" max="12052" width="9.140625" style="441"/>
    <col min="12053" max="12062" width="9.5703125" style="441" customWidth="1"/>
    <col min="12063" max="12289" width="9.140625" style="441"/>
    <col min="12290" max="12290" width="10.5703125" style="441" customWidth="1"/>
    <col min="12291" max="12291" width="11.5703125" style="441" customWidth="1"/>
    <col min="12292" max="12292" width="9.140625" style="441"/>
    <col min="12293" max="12293" width="8.140625" style="441" customWidth="1"/>
    <col min="12294" max="12298" width="9.28515625" style="441" customWidth="1"/>
    <col min="12299" max="12299" width="8.85546875" style="441" customWidth="1"/>
    <col min="12300" max="12300" width="11.140625" style="441" customWidth="1"/>
    <col min="12301" max="12301" width="9.42578125" style="441" customWidth="1"/>
    <col min="12302" max="12302" width="12.5703125" style="441" customWidth="1"/>
    <col min="12303" max="12303" width="8.85546875" style="441" customWidth="1"/>
    <col min="12304" max="12304" width="11.7109375" style="441" customWidth="1"/>
    <col min="12305" max="12305" width="11.5703125" style="441" customWidth="1"/>
    <col min="12306" max="12306" width="13.140625" style="441" customWidth="1"/>
    <col min="12307" max="12308" width="9.140625" style="441"/>
    <col min="12309" max="12318" width="9.5703125" style="441" customWidth="1"/>
    <col min="12319" max="12545" width="9.140625" style="441"/>
    <col min="12546" max="12546" width="10.5703125" style="441" customWidth="1"/>
    <col min="12547" max="12547" width="11.5703125" style="441" customWidth="1"/>
    <col min="12548" max="12548" width="9.140625" style="441"/>
    <col min="12549" max="12549" width="8.140625" style="441" customWidth="1"/>
    <col min="12550" max="12554" width="9.28515625" style="441" customWidth="1"/>
    <col min="12555" max="12555" width="8.85546875" style="441" customWidth="1"/>
    <col min="12556" max="12556" width="11.140625" style="441" customWidth="1"/>
    <col min="12557" max="12557" width="9.42578125" style="441" customWidth="1"/>
    <col min="12558" max="12558" width="12.5703125" style="441" customWidth="1"/>
    <col min="12559" max="12559" width="8.85546875" style="441" customWidth="1"/>
    <col min="12560" max="12560" width="11.7109375" style="441" customWidth="1"/>
    <col min="12561" max="12561" width="11.5703125" style="441" customWidth="1"/>
    <col min="12562" max="12562" width="13.140625" style="441" customWidth="1"/>
    <col min="12563" max="12564" width="9.140625" style="441"/>
    <col min="12565" max="12574" width="9.5703125" style="441" customWidth="1"/>
    <col min="12575" max="12801" width="9.140625" style="441"/>
    <col min="12802" max="12802" width="10.5703125" style="441" customWidth="1"/>
    <col min="12803" max="12803" width="11.5703125" style="441" customWidth="1"/>
    <col min="12804" max="12804" width="9.140625" style="441"/>
    <col min="12805" max="12805" width="8.140625" style="441" customWidth="1"/>
    <col min="12806" max="12810" width="9.28515625" style="441" customWidth="1"/>
    <col min="12811" max="12811" width="8.85546875" style="441" customWidth="1"/>
    <col min="12812" max="12812" width="11.140625" style="441" customWidth="1"/>
    <col min="12813" max="12813" width="9.42578125" style="441" customWidth="1"/>
    <col min="12814" max="12814" width="12.5703125" style="441" customWidth="1"/>
    <col min="12815" max="12815" width="8.85546875" style="441" customWidth="1"/>
    <col min="12816" max="12816" width="11.7109375" style="441" customWidth="1"/>
    <col min="12817" max="12817" width="11.5703125" style="441" customWidth="1"/>
    <col min="12818" max="12818" width="13.140625" style="441" customWidth="1"/>
    <col min="12819" max="12820" width="9.140625" style="441"/>
    <col min="12821" max="12830" width="9.5703125" style="441" customWidth="1"/>
    <col min="12831" max="13057" width="9.140625" style="441"/>
    <col min="13058" max="13058" width="10.5703125" style="441" customWidth="1"/>
    <col min="13059" max="13059" width="11.5703125" style="441" customWidth="1"/>
    <col min="13060" max="13060" width="9.140625" style="441"/>
    <col min="13061" max="13061" width="8.140625" style="441" customWidth="1"/>
    <col min="13062" max="13066" width="9.28515625" style="441" customWidth="1"/>
    <col min="13067" max="13067" width="8.85546875" style="441" customWidth="1"/>
    <col min="13068" max="13068" width="11.140625" style="441" customWidth="1"/>
    <col min="13069" max="13069" width="9.42578125" style="441" customWidth="1"/>
    <col min="13070" max="13070" width="12.5703125" style="441" customWidth="1"/>
    <col min="13071" max="13071" width="8.85546875" style="441" customWidth="1"/>
    <col min="13072" max="13072" width="11.7109375" style="441" customWidth="1"/>
    <col min="13073" max="13073" width="11.5703125" style="441" customWidth="1"/>
    <col min="13074" max="13074" width="13.140625" style="441" customWidth="1"/>
    <col min="13075" max="13076" width="9.140625" style="441"/>
    <col min="13077" max="13086" width="9.5703125" style="441" customWidth="1"/>
    <col min="13087" max="13313" width="9.140625" style="441"/>
    <col min="13314" max="13314" width="10.5703125" style="441" customWidth="1"/>
    <col min="13315" max="13315" width="11.5703125" style="441" customWidth="1"/>
    <col min="13316" max="13316" width="9.140625" style="441"/>
    <col min="13317" max="13317" width="8.140625" style="441" customWidth="1"/>
    <col min="13318" max="13322" width="9.28515625" style="441" customWidth="1"/>
    <col min="13323" max="13323" width="8.85546875" style="441" customWidth="1"/>
    <col min="13324" max="13324" width="11.140625" style="441" customWidth="1"/>
    <col min="13325" max="13325" width="9.42578125" style="441" customWidth="1"/>
    <col min="13326" max="13326" width="12.5703125" style="441" customWidth="1"/>
    <col min="13327" max="13327" width="8.85546875" style="441" customWidth="1"/>
    <col min="13328" max="13328" width="11.7109375" style="441" customWidth="1"/>
    <col min="13329" max="13329" width="11.5703125" style="441" customWidth="1"/>
    <col min="13330" max="13330" width="13.140625" style="441" customWidth="1"/>
    <col min="13331" max="13332" width="9.140625" style="441"/>
    <col min="13333" max="13342" width="9.5703125" style="441" customWidth="1"/>
    <col min="13343" max="13569" width="9.140625" style="441"/>
    <col min="13570" max="13570" width="10.5703125" style="441" customWidth="1"/>
    <col min="13571" max="13571" width="11.5703125" style="441" customWidth="1"/>
    <col min="13572" max="13572" width="9.140625" style="441"/>
    <col min="13573" max="13573" width="8.140625" style="441" customWidth="1"/>
    <col min="13574" max="13578" width="9.28515625" style="441" customWidth="1"/>
    <col min="13579" max="13579" width="8.85546875" style="441" customWidth="1"/>
    <col min="13580" max="13580" width="11.140625" style="441" customWidth="1"/>
    <col min="13581" max="13581" width="9.42578125" style="441" customWidth="1"/>
    <col min="13582" max="13582" width="12.5703125" style="441" customWidth="1"/>
    <col min="13583" max="13583" width="8.85546875" style="441" customWidth="1"/>
    <col min="13584" max="13584" width="11.7109375" style="441" customWidth="1"/>
    <col min="13585" max="13585" width="11.5703125" style="441" customWidth="1"/>
    <col min="13586" max="13586" width="13.140625" style="441" customWidth="1"/>
    <col min="13587" max="13588" width="9.140625" style="441"/>
    <col min="13589" max="13598" width="9.5703125" style="441" customWidth="1"/>
    <col min="13599" max="13825" width="9.140625" style="441"/>
    <col min="13826" max="13826" width="10.5703125" style="441" customWidth="1"/>
    <col min="13827" max="13827" width="11.5703125" style="441" customWidth="1"/>
    <col min="13828" max="13828" width="9.140625" style="441"/>
    <col min="13829" max="13829" width="8.140625" style="441" customWidth="1"/>
    <col min="13830" max="13834" width="9.28515625" style="441" customWidth="1"/>
    <col min="13835" max="13835" width="8.85546875" style="441" customWidth="1"/>
    <col min="13836" max="13836" width="11.140625" style="441" customWidth="1"/>
    <col min="13837" max="13837" width="9.42578125" style="441" customWidth="1"/>
    <col min="13838" max="13838" width="12.5703125" style="441" customWidth="1"/>
    <col min="13839" max="13839" width="8.85546875" style="441" customWidth="1"/>
    <col min="13840" max="13840" width="11.7109375" style="441" customWidth="1"/>
    <col min="13841" max="13841" width="11.5703125" style="441" customWidth="1"/>
    <col min="13842" max="13842" width="13.140625" style="441" customWidth="1"/>
    <col min="13843" max="13844" width="9.140625" style="441"/>
    <col min="13845" max="13854" width="9.5703125" style="441" customWidth="1"/>
    <col min="13855" max="14081" width="9.140625" style="441"/>
    <col min="14082" max="14082" width="10.5703125" style="441" customWidth="1"/>
    <col min="14083" max="14083" width="11.5703125" style="441" customWidth="1"/>
    <col min="14084" max="14084" width="9.140625" style="441"/>
    <col min="14085" max="14085" width="8.140625" style="441" customWidth="1"/>
    <col min="14086" max="14090" width="9.28515625" style="441" customWidth="1"/>
    <col min="14091" max="14091" width="8.85546875" style="441" customWidth="1"/>
    <col min="14092" max="14092" width="11.140625" style="441" customWidth="1"/>
    <col min="14093" max="14093" width="9.42578125" style="441" customWidth="1"/>
    <col min="14094" max="14094" width="12.5703125" style="441" customWidth="1"/>
    <col min="14095" max="14095" width="8.85546875" style="441" customWidth="1"/>
    <col min="14096" max="14096" width="11.7109375" style="441" customWidth="1"/>
    <col min="14097" max="14097" width="11.5703125" style="441" customWidth="1"/>
    <col min="14098" max="14098" width="13.140625" style="441" customWidth="1"/>
    <col min="14099" max="14100" width="9.140625" style="441"/>
    <col min="14101" max="14110" width="9.5703125" style="441" customWidth="1"/>
    <col min="14111" max="14337" width="9.140625" style="441"/>
    <col min="14338" max="14338" width="10.5703125" style="441" customWidth="1"/>
    <col min="14339" max="14339" width="11.5703125" style="441" customWidth="1"/>
    <col min="14340" max="14340" width="9.140625" style="441"/>
    <col min="14341" max="14341" width="8.140625" style="441" customWidth="1"/>
    <col min="14342" max="14346" width="9.28515625" style="441" customWidth="1"/>
    <col min="14347" max="14347" width="8.85546875" style="441" customWidth="1"/>
    <col min="14348" max="14348" width="11.140625" style="441" customWidth="1"/>
    <col min="14349" max="14349" width="9.42578125" style="441" customWidth="1"/>
    <col min="14350" max="14350" width="12.5703125" style="441" customWidth="1"/>
    <col min="14351" max="14351" width="8.85546875" style="441" customWidth="1"/>
    <col min="14352" max="14352" width="11.7109375" style="441" customWidth="1"/>
    <col min="14353" max="14353" width="11.5703125" style="441" customWidth="1"/>
    <col min="14354" max="14354" width="13.140625" style="441" customWidth="1"/>
    <col min="14355" max="14356" width="9.140625" style="441"/>
    <col min="14357" max="14366" width="9.5703125" style="441" customWidth="1"/>
    <col min="14367" max="14593" width="9.140625" style="441"/>
    <col min="14594" max="14594" width="10.5703125" style="441" customWidth="1"/>
    <col min="14595" max="14595" width="11.5703125" style="441" customWidth="1"/>
    <col min="14596" max="14596" width="9.140625" style="441"/>
    <col min="14597" max="14597" width="8.140625" style="441" customWidth="1"/>
    <col min="14598" max="14602" width="9.28515625" style="441" customWidth="1"/>
    <col min="14603" max="14603" width="8.85546875" style="441" customWidth="1"/>
    <col min="14604" max="14604" width="11.140625" style="441" customWidth="1"/>
    <col min="14605" max="14605" width="9.42578125" style="441" customWidth="1"/>
    <col min="14606" max="14606" width="12.5703125" style="441" customWidth="1"/>
    <col min="14607" max="14607" width="8.85546875" style="441" customWidth="1"/>
    <col min="14608" max="14608" width="11.7109375" style="441" customWidth="1"/>
    <col min="14609" max="14609" width="11.5703125" style="441" customWidth="1"/>
    <col min="14610" max="14610" width="13.140625" style="441" customWidth="1"/>
    <col min="14611" max="14612" width="9.140625" style="441"/>
    <col min="14613" max="14622" width="9.5703125" style="441" customWidth="1"/>
    <col min="14623" max="14849" width="9.140625" style="441"/>
    <col min="14850" max="14850" width="10.5703125" style="441" customWidth="1"/>
    <col min="14851" max="14851" width="11.5703125" style="441" customWidth="1"/>
    <col min="14852" max="14852" width="9.140625" style="441"/>
    <col min="14853" max="14853" width="8.140625" style="441" customWidth="1"/>
    <col min="14854" max="14858" width="9.28515625" style="441" customWidth="1"/>
    <col min="14859" max="14859" width="8.85546875" style="441" customWidth="1"/>
    <col min="14860" max="14860" width="11.140625" style="441" customWidth="1"/>
    <col min="14861" max="14861" width="9.42578125" style="441" customWidth="1"/>
    <col min="14862" max="14862" width="12.5703125" style="441" customWidth="1"/>
    <col min="14863" max="14863" width="8.85546875" style="441" customWidth="1"/>
    <col min="14864" max="14864" width="11.7109375" style="441" customWidth="1"/>
    <col min="14865" max="14865" width="11.5703125" style="441" customWidth="1"/>
    <col min="14866" max="14866" width="13.140625" style="441" customWidth="1"/>
    <col min="14867" max="14868" width="9.140625" style="441"/>
    <col min="14869" max="14878" width="9.5703125" style="441" customWidth="1"/>
    <col min="14879" max="15105" width="9.140625" style="441"/>
    <col min="15106" max="15106" width="10.5703125" style="441" customWidth="1"/>
    <col min="15107" max="15107" width="11.5703125" style="441" customWidth="1"/>
    <col min="15108" max="15108" width="9.140625" style="441"/>
    <col min="15109" max="15109" width="8.140625" style="441" customWidth="1"/>
    <col min="15110" max="15114" width="9.28515625" style="441" customWidth="1"/>
    <col min="15115" max="15115" width="8.85546875" style="441" customWidth="1"/>
    <col min="15116" max="15116" width="11.140625" style="441" customWidth="1"/>
    <col min="15117" max="15117" width="9.42578125" style="441" customWidth="1"/>
    <col min="15118" max="15118" width="12.5703125" style="441" customWidth="1"/>
    <col min="15119" max="15119" width="8.85546875" style="441" customWidth="1"/>
    <col min="15120" max="15120" width="11.7109375" style="441" customWidth="1"/>
    <col min="15121" max="15121" width="11.5703125" style="441" customWidth="1"/>
    <col min="15122" max="15122" width="13.140625" style="441" customWidth="1"/>
    <col min="15123" max="15124" width="9.140625" style="441"/>
    <col min="15125" max="15134" width="9.5703125" style="441" customWidth="1"/>
    <col min="15135" max="15361" width="9.140625" style="441"/>
    <col min="15362" max="15362" width="10.5703125" style="441" customWidth="1"/>
    <col min="15363" max="15363" width="11.5703125" style="441" customWidth="1"/>
    <col min="15364" max="15364" width="9.140625" style="441"/>
    <col min="15365" max="15365" width="8.140625" style="441" customWidth="1"/>
    <col min="15366" max="15370" width="9.28515625" style="441" customWidth="1"/>
    <col min="15371" max="15371" width="8.85546875" style="441" customWidth="1"/>
    <col min="15372" max="15372" width="11.140625" style="441" customWidth="1"/>
    <col min="15373" max="15373" width="9.42578125" style="441" customWidth="1"/>
    <col min="15374" max="15374" width="12.5703125" style="441" customWidth="1"/>
    <col min="15375" max="15375" width="8.85546875" style="441" customWidth="1"/>
    <col min="15376" max="15376" width="11.7109375" style="441" customWidth="1"/>
    <col min="15377" max="15377" width="11.5703125" style="441" customWidth="1"/>
    <col min="15378" max="15378" width="13.140625" style="441" customWidth="1"/>
    <col min="15379" max="15380" width="9.140625" style="441"/>
    <col min="15381" max="15390" width="9.5703125" style="441" customWidth="1"/>
    <col min="15391" max="15617" width="9.140625" style="441"/>
    <col min="15618" max="15618" width="10.5703125" style="441" customWidth="1"/>
    <col min="15619" max="15619" width="11.5703125" style="441" customWidth="1"/>
    <col min="15620" max="15620" width="9.140625" style="441"/>
    <col min="15621" max="15621" width="8.140625" style="441" customWidth="1"/>
    <col min="15622" max="15626" width="9.28515625" style="441" customWidth="1"/>
    <col min="15627" max="15627" width="8.85546875" style="441" customWidth="1"/>
    <col min="15628" max="15628" width="11.140625" style="441" customWidth="1"/>
    <col min="15629" max="15629" width="9.42578125" style="441" customWidth="1"/>
    <col min="15630" max="15630" width="12.5703125" style="441" customWidth="1"/>
    <col min="15631" max="15631" width="8.85546875" style="441" customWidth="1"/>
    <col min="15632" max="15632" width="11.7109375" style="441" customWidth="1"/>
    <col min="15633" max="15633" width="11.5703125" style="441" customWidth="1"/>
    <col min="15634" max="15634" width="13.140625" style="441" customWidth="1"/>
    <col min="15635" max="15636" width="9.140625" style="441"/>
    <col min="15637" max="15646" width="9.5703125" style="441" customWidth="1"/>
    <col min="15647" max="15873" width="9.140625" style="441"/>
    <col min="15874" max="15874" width="10.5703125" style="441" customWidth="1"/>
    <col min="15875" max="15875" width="11.5703125" style="441" customWidth="1"/>
    <col min="15876" max="15876" width="9.140625" style="441"/>
    <col min="15877" max="15877" width="8.140625" style="441" customWidth="1"/>
    <col min="15878" max="15882" width="9.28515625" style="441" customWidth="1"/>
    <col min="15883" max="15883" width="8.85546875" style="441" customWidth="1"/>
    <col min="15884" max="15884" width="11.140625" style="441" customWidth="1"/>
    <col min="15885" max="15885" width="9.42578125" style="441" customWidth="1"/>
    <col min="15886" max="15886" width="12.5703125" style="441" customWidth="1"/>
    <col min="15887" max="15887" width="8.85546875" style="441" customWidth="1"/>
    <col min="15888" max="15888" width="11.7109375" style="441" customWidth="1"/>
    <col min="15889" max="15889" width="11.5703125" style="441" customWidth="1"/>
    <col min="15890" max="15890" width="13.140625" style="441" customWidth="1"/>
    <col min="15891" max="15892" width="9.140625" style="441"/>
    <col min="15893" max="15902" width="9.5703125" style="441" customWidth="1"/>
    <col min="15903" max="16129" width="9.140625" style="441"/>
    <col min="16130" max="16130" width="10.5703125" style="441" customWidth="1"/>
    <col min="16131" max="16131" width="11.5703125" style="441" customWidth="1"/>
    <col min="16132" max="16132" width="9.140625" style="441"/>
    <col min="16133" max="16133" width="8.140625" style="441" customWidth="1"/>
    <col min="16134" max="16138" width="9.28515625" style="441" customWidth="1"/>
    <col min="16139" max="16139" width="8.85546875" style="441" customWidth="1"/>
    <col min="16140" max="16140" width="11.140625" style="441" customWidth="1"/>
    <col min="16141" max="16141" width="9.42578125" style="441" customWidth="1"/>
    <col min="16142" max="16142" width="12.5703125" style="441" customWidth="1"/>
    <col min="16143" max="16143" width="8.85546875" style="441" customWidth="1"/>
    <col min="16144" max="16144" width="11.7109375" style="441" customWidth="1"/>
    <col min="16145" max="16145" width="11.5703125" style="441" customWidth="1"/>
    <col min="16146" max="16146" width="13.140625" style="441" customWidth="1"/>
    <col min="16147" max="16148" width="9.140625" style="441"/>
    <col min="16149" max="16158" width="9.5703125" style="441" customWidth="1"/>
    <col min="16159" max="16384" width="9.140625" style="441"/>
  </cols>
  <sheetData>
    <row r="1" spans="1:18" ht="18" customHeight="1">
      <c r="A1" s="1088" t="s">
        <v>680</v>
      </c>
      <c r="B1" s="1089"/>
      <c r="C1" s="1089"/>
      <c r="D1" s="1094" t="s">
        <v>681</v>
      </c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5" t="s">
        <v>682</v>
      </c>
      <c r="P1" s="1095"/>
      <c r="Q1" s="1095" t="s">
        <v>683</v>
      </c>
      <c r="R1" s="1095"/>
    </row>
    <row r="2" spans="1:18" ht="18" customHeight="1">
      <c r="A2" s="1090"/>
      <c r="B2" s="1091"/>
      <c r="C2" s="1091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5" t="s">
        <v>684</v>
      </c>
      <c r="P2" s="1095"/>
      <c r="Q2" s="1095">
        <v>0</v>
      </c>
      <c r="R2" s="1095"/>
    </row>
    <row r="3" spans="1:18" ht="18" customHeight="1">
      <c r="A3" s="1092"/>
      <c r="B3" s="1093"/>
      <c r="C3" s="1093"/>
      <c r="D3" s="1094"/>
      <c r="E3" s="1094"/>
      <c r="F3" s="1094"/>
      <c r="G3" s="1094"/>
      <c r="H3" s="1094"/>
      <c r="I3" s="1094"/>
      <c r="J3" s="1094"/>
      <c r="K3" s="1094"/>
      <c r="L3" s="1094"/>
      <c r="M3" s="1094"/>
      <c r="N3" s="1094"/>
      <c r="O3" s="1095" t="s">
        <v>685</v>
      </c>
      <c r="P3" s="1095"/>
      <c r="Q3" s="1096" t="s">
        <v>686</v>
      </c>
      <c r="R3" s="1095"/>
    </row>
    <row r="4" spans="1:18" ht="30" customHeight="1">
      <c r="A4" s="1097" t="s">
        <v>687</v>
      </c>
      <c r="B4" s="1097"/>
      <c r="C4" s="1098" t="s">
        <v>437</v>
      </c>
      <c r="D4" s="1102"/>
      <c r="E4" s="1102"/>
      <c r="F4" s="1103" t="s">
        <v>688</v>
      </c>
      <c r="G4" s="1103"/>
      <c r="H4" s="1101" t="s">
        <v>736</v>
      </c>
      <c r="I4" s="1101"/>
      <c r="J4" s="1101"/>
      <c r="K4" s="1104" t="s">
        <v>689</v>
      </c>
      <c r="L4" s="1103"/>
      <c r="M4" s="442">
        <v>0.02</v>
      </c>
      <c r="N4" s="443"/>
      <c r="O4" s="444"/>
      <c r="P4" s="444"/>
      <c r="Q4" s="445"/>
      <c r="R4" s="446"/>
    </row>
    <row r="5" spans="1:18" ht="15.75" customHeight="1">
      <c r="A5" s="1097" t="s">
        <v>690</v>
      </c>
      <c r="B5" s="1097"/>
      <c r="C5" s="1098" t="s">
        <v>735</v>
      </c>
      <c r="D5" s="1099"/>
      <c r="E5" s="1099"/>
      <c r="F5" s="1097" t="s">
        <v>691</v>
      </c>
      <c r="G5" s="1097"/>
      <c r="H5" s="1100" t="s">
        <v>527</v>
      </c>
      <c r="I5" s="1101"/>
      <c r="J5" s="1101"/>
      <c r="K5" s="1097" t="s">
        <v>692</v>
      </c>
      <c r="L5" s="1097"/>
      <c r="M5" s="442">
        <v>3</v>
      </c>
      <c r="N5" s="447"/>
      <c r="O5" s="448"/>
      <c r="P5" s="449"/>
      <c r="Q5" s="450" t="s">
        <v>693</v>
      </c>
      <c r="R5" s="451"/>
    </row>
    <row r="6" spans="1:18" ht="15" customHeight="1">
      <c r="A6" s="1097" t="s">
        <v>694</v>
      </c>
      <c r="B6" s="1097"/>
      <c r="C6" s="1101"/>
      <c r="D6" s="1101"/>
      <c r="E6" s="1101"/>
      <c r="F6" s="1097"/>
      <c r="G6" s="1097"/>
      <c r="H6" s="1106"/>
      <c r="I6" s="1106"/>
      <c r="J6" s="1106"/>
      <c r="K6" s="1097"/>
      <c r="L6" s="1097"/>
      <c r="M6" s="452"/>
      <c r="N6" s="447"/>
      <c r="O6" s="453"/>
      <c r="P6" s="454"/>
      <c r="Q6" s="449"/>
      <c r="R6" s="455"/>
    </row>
    <row r="7" spans="1:18" ht="14.25" customHeight="1">
      <c r="A7" s="1107" t="s">
        <v>695</v>
      </c>
      <c r="B7" s="1107"/>
      <c r="C7" s="1107"/>
      <c r="D7" s="1107"/>
      <c r="E7" s="1107"/>
      <c r="F7" s="1107"/>
      <c r="G7" s="1107"/>
      <c r="H7" s="1107"/>
      <c r="I7" s="1107"/>
      <c r="J7" s="1107"/>
      <c r="K7" s="1107"/>
      <c r="L7" s="1108"/>
      <c r="M7" s="1108"/>
      <c r="N7" s="1107"/>
      <c r="O7" s="1107"/>
      <c r="P7" s="1107"/>
      <c r="Q7" s="1107"/>
      <c r="R7" s="1107"/>
    </row>
    <row r="8" spans="1:18" ht="15" customHeight="1">
      <c r="A8" s="456" t="s">
        <v>696</v>
      </c>
      <c r="B8" s="457">
        <v>1</v>
      </c>
      <c r="C8" s="457">
        <v>2</v>
      </c>
      <c r="D8" s="457">
        <v>3</v>
      </c>
      <c r="E8" s="457">
        <v>4</v>
      </c>
      <c r="F8" s="457">
        <v>5</v>
      </c>
      <c r="G8" s="457">
        <v>6</v>
      </c>
      <c r="H8" s="457">
        <v>7</v>
      </c>
      <c r="I8" s="457">
        <v>8</v>
      </c>
      <c r="J8" s="457">
        <v>9</v>
      </c>
      <c r="K8" s="458">
        <v>10</v>
      </c>
      <c r="L8" s="459" t="s">
        <v>697</v>
      </c>
      <c r="M8" s="460">
        <v>137</v>
      </c>
      <c r="N8" s="1109"/>
      <c r="O8" s="1109"/>
      <c r="P8" s="1109"/>
      <c r="Q8" s="1109"/>
      <c r="R8" s="1110"/>
    </row>
    <row r="9" spans="1:18" ht="16.5" customHeight="1">
      <c r="A9" s="461">
        <v>1</v>
      </c>
      <c r="B9" s="442">
        <v>135.80000000000001</v>
      </c>
      <c r="C9" s="442">
        <v>136.26</v>
      </c>
      <c r="D9" s="442">
        <v>135.96</v>
      </c>
      <c r="E9" s="442">
        <v>135.86000000000001</v>
      </c>
      <c r="F9" s="442">
        <v>136.12</v>
      </c>
      <c r="G9" s="442">
        <v>135.91999999999999</v>
      </c>
      <c r="H9" s="442">
        <v>136.12</v>
      </c>
      <c r="I9" s="442">
        <v>135.80000000000001</v>
      </c>
      <c r="J9" s="442">
        <v>136.08000000000001</v>
      </c>
      <c r="K9" s="442">
        <v>135.80000000000001</v>
      </c>
      <c r="L9" s="1115"/>
      <c r="M9" s="1116"/>
      <c r="N9" s="1111"/>
      <c r="O9" s="1111"/>
      <c r="P9" s="1111"/>
      <c r="Q9" s="1111"/>
      <c r="R9" s="1112"/>
    </row>
    <row r="10" spans="1:18" ht="16.5" customHeight="1">
      <c r="A10" s="461">
        <v>2</v>
      </c>
      <c r="B10" s="442">
        <v>136.12</v>
      </c>
      <c r="C10" s="442">
        <v>135.91999999999999</v>
      </c>
      <c r="D10" s="442">
        <v>135.80000000000001</v>
      </c>
      <c r="E10" s="442">
        <v>136.12</v>
      </c>
      <c r="F10" s="442">
        <v>135.80000000000001</v>
      </c>
      <c r="G10" s="442">
        <v>136.08000000000001</v>
      </c>
      <c r="H10" s="442">
        <v>136.19999999999999</v>
      </c>
      <c r="I10" s="442">
        <v>136.19999999999999</v>
      </c>
      <c r="J10" s="442">
        <v>136.26</v>
      </c>
      <c r="K10" s="442">
        <v>136.12</v>
      </c>
      <c r="L10" s="1117"/>
      <c r="M10" s="1118"/>
      <c r="N10" s="1111"/>
      <c r="O10" s="1111"/>
      <c r="P10" s="1111"/>
      <c r="Q10" s="1111"/>
      <c r="R10" s="1112"/>
    </row>
    <row r="11" spans="1:18" ht="16.5" customHeight="1">
      <c r="A11" s="443">
        <v>3</v>
      </c>
      <c r="B11" s="442">
        <v>135.80000000000001</v>
      </c>
      <c r="C11" s="442">
        <v>136.12</v>
      </c>
      <c r="D11" s="442">
        <v>136.12</v>
      </c>
      <c r="E11" s="442">
        <v>135.82</v>
      </c>
      <c r="F11" s="442">
        <v>136.12</v>
      </c>
      <c r="G11" s="442">
        <v>136.12</v>
      </c>
      <c r="H11" s="442">
        <v>136.08000000000001</v>
      </c>
      <c r="I11" s="442">
        <v>136.08000000000001</v>
      </c>
      <c r="J11" s="442">
        <v>136.12</v>
      </c>
      <c r="K11" s="442">
        <v>136.08000000000001</v>
      </c>
      <c r="L11" s="459" t="s">
        <v>698</v>
      </c>
      <c r="M11" s="460">
        <v>135</v>
      </c>
      <c r="N11" s="1111"/>
      <c r="O11" s="1111"/>
      <c r="P11" s="1111"/>
      <c r="Q11" s="1111"/>
      <c r="R11" s="1112"/>
    </row>
    <row r="12" spans="1:18" ht="16.5" customHeight="1">
      <c r="A12" s="461">
        <v>4</v>
      </c>
      <c r="B12" s="442">
        <v>135.91999999999999</v>
      </c>
      <c r="C12" s="442">
        <v>135.80000000000001</v>
      </c>
      <c r="D12" s="442">
        <v>135.91999999999999</v>
      </c>
      <c r="E12" s="442">
        <v>135.91999999999999</v>
      </c>
      <c r="F12" s="442">
        <v>136.19999999999999</v>
      </c>
      <c r="G12" s="442">
        <v>136.19999999999999</v>
      </c>
      <c r="H12" s="442">
        <v>135.91999999999999</v>
      </c>
      <c r="I12" s="442">
        <v>136.26</v>
      </c>
      <c r="J12" s="442">
        <v>136.08000000000001</v>
      </c>
      <c r="K12" s="442">
        <v>136.12</v>
      </c>
      <c r="L12" s="1119"/>
      <c r="M12" s="1119"/>
      <c r="N12" s="1111"/>
      <c r="O12" s="1111"/>
      <c r="P12" s="1111"/>
      <c r="Q12" s="1111"/>
      <c r="R12" s="1112"/>
    </row>
    <row r="13" spans="1:18" ht="16.5" customHeight="1">
      <c r="A13" s="462">
        <v>5</v>
      </c>
      <c r="B13" s="442">
        <v>136.26</v>
      </c>
      <c r="C13" s="442">
        <v>135.91999999999999</v>
      </c>
      <c r="D13" s="442">
        <v>136.26</v>
      </c>
      <c r="E13" s="442">
        <v>136.19999999999999</v>
      </c>
      <c r="F13" s="442">
        <v>135.80000000000001</v>
      </c>
      <c r="G13" s="442">
        <v>136.19999999999999</v>
      </c>
      <c r="H13" s="442">
        <v>136.26</v>
      </c>
      <c r="I13" s="442">
        <v>135.91999999999999</v>
      </c>
      <c r="J13" s="442">
        <v>135.91999999999999</v>
      </c>
      <c r="K13" s="442">
        <v>136.19999999999999</v>
      </c>
      <c r="L13" s="1119"/>
      <c r="M13" s="1119"/>
      <c r="N13" s="1113"/>
      <c r="O13" s="1113"/>
      <c r="P13" s="1113"/>
      <c r="Q13" s="1113"/>
      <c r="R13" s="1114"/>
    </row>
    <row r="14" spans="1:18" ht="15" customHeight="1">
      <c r="A14" s="1107" t="s">
        <v>699</v>
      </c>
      <c r="B14" s="1107"/>
      <c r="C14" s="1107"/>
      <c r="D14" s="1107"/>
      <c r="E14" s="1107"/>
      <c r="F14" s="1107"/>
      <c r="G14" s="1107"/>
      <c r="H14" s="1107"/>
      <c r="I14" s="1107"/>
      <c r="J14" s="1107"/>
      <c r="K14" s="1120"/>
      <c r="L14" s="1120"/>
      <c r="M14" s="1120"/>
      <c r="N14" s="1107"/>
      <c r="O14" s="1107"/>
      <c r="P14" s="1107"/>
      <c r="Q14" s="1107"/>
      <c r="R14" s="1107"/>
    </row>
    <row r="15" spans="1:18" ht="15.75" customHeight="1">
      <c r="A15" s="443" t="s">
        <v>700</v>
      </c>
      <c r="B15" s="463">
        <f t="shared" ref="B15:K15" si="0">MAX(B9:B13)</f>
        <v>136.26</v>
      </c>
      <c r="C15" s="463">
        <f t="shared" si="0"/>
        <v>136.26</v>
      </c>
      <c r="D15" s="463">
        <f t="shared" si="0"/>
        <v>136.26</v>
      </c>
      <c r="E15" s="463">
        <f t="shared" si="0"/>
        <v>136.19999999999999</v>
      </c>
      <c r="F15" s="463">
        <f t="shared" si="0"/>
        <v>136.19999999999999</v>
      </c>
      <c r="G15" s="463">
        <f t="shared" si="0"/>
        <v>136.19999999999999</v>
      </c>
      <c r="H15" s="463">
        <f t="shared" si="0"/>
        <v>136.26</v>
      </c>
      <c r="I15" s="463">
        <f t="shared" si="0"/>
        <v>136.26</v>
      </c>
      <c r="J15" s="463">
        <f t="shared" si="0"/>
        <v>136.26</v>
      </c>
      <c r="K15" s="464">
        <f t="shared" si="0"/>
        <v>136.19999999999999</v>
      </c>
      <c r="L15" s="461" t="s">
        <v>701</v>
      </c>
      <c r="M15" s="465">
        <f>(MAX(B15:K15))</f>
        <v>136.26</v>
      </c>
      <c r="N15" s="1121" t="s">
        <v>702</v>
      </c>
      <c r="O15" s="1121"/>
      <c r="P15" s="1121"/>
      <c r="Q15" s="466">
        <f>SUM(Q17:R18)</f>
        <v>0</v>
      </c>
      <c r="R15" s="467" t="s">
        <v>703</v>
      </c>
    </row>
    <row r="16" spans="1:18" ht="15.75" customHeight="1">
      <c r="A16" s="461" t="s">
        <v>704</v>
      </c>
      <c r="B16" s="468">
        <f t="shared" ref="B16:K16" si="1">MIN(B9:B13)</f>
        <v>135.80000000000001</v>
      </c>
      <c r="C16" s="468">
        <f t="shared" si="1"/>
        <v>135.80000000000001</v>
      </c>
      <c r="D16" s="468">
        <f t="shared" si="1"/>
        <v>135.80000000000001</v>
      </c>
      <c r="E16" s="468">
        <f t="shared" si="1"/>
        <v>135.82</v>
      </c>
      <c r="F16" s="468">
        <f t="shared" si="1"/>
        <v>135.80000000000001</v>
      </c>
      <c r="G16" s="468">
        <f t="shared" si="1"/>
        <v>135.91999999999999</v>
      </c>
      <c r="H16" s="468">
        <f t="shared" si="1"/>
        <v>135.91999999999999</v>
      </c>
      <c r="I16" s="468">
        <f t="shared" si="1"/>
        <v>135.80000000000001</v>
      </c>
      <c r="J16" s="468">
        <f t="shared" si="1"/>
        <v>135.91999999999999</v>
      </c>
      <c r="K16" s="464">
        <f t="shared" si="1"/>
        <v>135.80000000000001</v>
      </c>
      <c r="L16" s="461" t="s">
        <v>705</v>
      </c>
      <c r="M16" s="465">
        <f>MIN(B16:K16)</f>
        <v>135.80000000000001</v>
      </c>
      <c r="N16" s="1105"/>
      <c r="O16" s="1105"/>
      <c r="P16" s="1105"/>
      <c r="Q16" s="1105"/>
      <c r="R16" s="1105"/>
    </row>
    <row r="17" spans="1:30" ht="15.75" customHeight="1">
      <c r="A17" s="462" t="s">
        <v>706</v>
      </c>
      <c r="B17" s="469">
        <f t="shared" ref="B17:K17" si="2">SUM(MAX(B9:B13)-MIN(B9:B13))</f>
        <v>0.45999999999997954</v>
      </c>
      <c r="C17" s="469">
        <f t="shared" si="2"/>
        <v>0.45999999999997954</v>
      </c>
      <c r="D17" s="469">
        <f t="shared" si="2"/>
        <v>0.45999999999997954</v>
      </c>
      <c r="E17" s="469">
        <f t="shared" si="2"/>
        <v>0.37999999999999545</v>
      </c>
      <c r="F17" s="469">
        <f t="shared" si="2"/>
        <v>0.39999999999997726</v>
      </c>
      <c r="G17" s="469">
        <f t="shared" si="2"/>
        <v>0.28000000000000114</v>
      </c>
      <c r="H17" s="469">
        <f t="shared" si="2"/>
        <v>0.34000000000000341</v>
      </c>
      <c r="I17" s="469">
        <f t="shared" si="2"/>
        <v>0.45999999999997954</v>
      </c>
      <c r="J17" s="469">
        <f t="shared" si="2"/>
        <v>0.34000000000000341</v>
      </c>
      <c r="K17" s="464">
        <f t="shared" si="2"/>
        <v>0.39999999999997726</v>
      </c>
      <c r="L17" s="470" t="s">
        <v>707</v>
      </c>
      <c r="M17" s="471">
        <f>AVERAGE(B17:K17)</f>
        <v>0.39799999999998759</v>
      </c>
      <c r="N17" s="1121" t="s">
        <v>708</v>
      </c>
      <c r="O17" s="1121"/>
      <c r="P17" s="1121"/>
      <c r="Q17" s="466">
        <f>COUNTIF(B9:K13,"&gt;"&amp;TEXT(M8,"0.000000"))</f>
        <v>0</v>
      </c>
      <c r="R17" s="467" t="s">
        <v>703</v>
      </c>
      <c r="U17" s="472"/>
      <c r="V17" s="472"/>
      <c r="W17" s="472"/>
      <c r="X17" s="472"/>
      <c r="Y17" s="472"/>
      <c r="Z17" s="472"/>
      <c r="AA17" s="472"/>
      <c r="AB17" s="472"/>
      <c r="AC17" s="472"/>
      <c r="AD17" s="472"/>
    </row>
    <row r="18" spans="1:30" ht="15.75" customHeight="1">
      <c r="A18" s="473" t="s">
        <v>709</v>
      </c>
      <c r="B18" s="468">
        <f>(AVERAGE(B9:B13))</f>
        <v>135.97999999999999</v>
      </c>
      <c r="C18" s="468">
        <f t="shared" ref="C18:K18" si="3">AVERAGE(C9:C13)</f>
        <v>136.00399999999996</v>
      </c>
      <c r="D18" s="468">
        <f t="shared" si="3"/>
        <v>136.012</v>
      </c>
      <c r="E18" s="468">
        <f t="shared" si="3"/>
        <v>135.98400000000001</v>
      </c>
      <c r="F18" s="468">
        <f t="shared" si="3"/>
        <v>136.00799999999998</v>
      </c>
      <c r="G18" s="468">
        <f t="shared" si="3"/>
        <v>136.10399999999998</v>
      </c>
      <c r="H18" s="468">
        <f t="shared" si="3"/>
        <v>136.11599999999999</v>
      </c>
      <c r="I18" s="468">
        <f t="shared" si="3"/>
        <v>136.05199999999999</v>
      </c>
      <c r="J18" s="468">
        <f t="shared" si="3"/>
        <v>136.09200000000001</v>
      </c>
      <c r="K18" s="464">
        <f t="shared" si="3"/>
        <v>136.06399999999999</v>
      </c>
      <c r="L18" s="474" t="s">
        <v>710</v>
      </c>
      <c r="M18" s="475">
        <f>ROUNDUP(AVERAGE(B9:K13),4)</f>
        <v>136.04159999999999</v>
      </c>
      <c r="N18" s="1121" t="s">
        <v>711</v>
      </c>
      <c r="O18" s="1121"/>
      <c r="P18" s="1121"/>
      <c r="Q18" s="476">
        <f>COUNTIF(B9:K13,"&lt;"&amp;TEXT(M11,"0.000000"))</f>
        <v>0</v>
      </c>
      <c r="R18" s="477" t="s">
        <v>703</v>
      </c>
      <c r="U18" s="478"/>
      <c r="V18" s="478"/>
      <c r="W18" s="478"/>
      <c r="X18" s="478"/>
      <c r="Y18" s="478"/>
      <c r="Z18" s="478"/>
      <c r="AA18" s="478"/>
      <c r="AB18" s="478"/>
      <c r="AC18" s="478"/>
      <c r="AD18" s="478"/>
    </row>
    <row r="19" spans="1:30" ht="15.75" customHeight="1">
      <c r="A19" s="1122" t="s">
        <v>712</v>
      </c>
      <c r="B19" s="1122"/>
      <c r="C19" s="1122"/>
      <c r="D19" s="1123">
        <f>ROUNDUP(SUM(M15-M16),4)</f>
        <v>0.45999999999999996</v>
      </c>
      <c r="E19" s="1123"/>
      <c r="F19" s="1122" t="s">
        <v>713</v>
      </c>
      <c r="G19" s="1122"/>
      <c r="H19" s="1122"/>
      <c r="I19" s="1124">
        <f>ROUNDUP(ABS(SUM(M8-M11)),4)</f>
        <v>2</v>
      </c>
      <c r="J19" s="1124"/>
      <c r="K19" s="1122" t="s">
        <v>714</v>
      </c>
      <c r="L19" s="1122"/>
      <c r="M19" s="1122"/>
      <c r="N19" s="479">
        <f>ROUNDUP(SUM((2*(N21))/I19),4)</f>
        <v>4.1600000000000005E-2</v>
      </c>
      <c r="O19" s="1125" t="s">
        <v>715</v>
      </c>
      <c r="P19" s="1125"/>
      <c r="Q19" s="480" t="s">
        <v>716</v>
      </c>
      <c r="R19" s="480" t="s">
        <v>717</v>
      </c>
    </row>
    <row r="20" spans="1:30" ht="15.75" customHeight="1">
      <c r="A20" s="1122" t="s">
        <v>718</v>
      </c>
      <c r="B20" s="1122"/>
      <c r="C20" s="1122"/>
      <c r="D20" s="1126">
        <f>ROUNDUP(AVERAGE(M8:M11),4)</f>
        <v>136</v>
      </c>
      <c r="E20" s="1126"/>
      <c r="F20" s="1122" t="s">
        <v>719</v>
      </c>
      <c r="G20" s="1122"/>
      <c r="H20" s="1122"/>
      <c r="I20" s="1124">
        <f>ROUNDUP(SUM(D19/N20),4)</f>
        <v>0.15339999999999998</v>
      </c>
      <c r="J20" s="1124"/>
      <c r="K20" s="1122" t="s">
        <v>720</v>
      </c>
      <c r="L20" s="1122"/>
      <c r="M20" s="1122"/>
      <c r="N20" s="455">
        <v>3</v>
      </c>
      <c r="O20" s="481">
        <f>ROUNDUP(SUM(P20-I20),4)</f>
        <v>135.3398</v>
      </c>
      <c r="P20" s="481">
        <f>ROUNDUP(SUM(P21-I20),4)</f>
        <v>135.4932</v>
      </c>
      <c r="Q20" s="482">
        <f>SUM(R20)</f>
        <v>0</v>
      </c>
      <c r="R20" s="482">
        <f>FREQUENCY(B9:K13,P20)</f>
        <v>0</v>
      </c>
    </row>
    <row r="21" spans="1:30" ht="15.75" customHeight="1">
      <c r="A21" s="1122" t="s">
        <v>721</v>
      </c>
      <c r="B21" s="1122"/>
      <c r="C21" s="1122"/>
      <c r="D21" s="1126">
        <f>ROUNDUP(SUM(M16-(IF(M6=L9,N9,(IF(M6=L10,N10,(IF(M6=L11,M11,(IF(M6=L12,N12,(IF(M6=L13,N13))))))))))),4)</f>
        <v>135.80000000000001</v>
      </c>
      <c r="E21" s="1126"/>
      <c r="F21" s="1122" t="s">
        <v>722</v>
      </c>
      <c r="G21" s="1122"/>
      <c r="H21" s="1122"/>
      <c r="I21" s="1127">
        <f>COUNTIF((B9:K13),"&gt;0")</f>
        <v>50</v>
      </c>
      <c r="J21" s="1127"/>
      <c r="K21" s="1122" t="s">
        <v>723</v>
      </c>
      <c r="L21" s="1122"/>
      <c r="M21" s="1122"/>
      <c r="N21" s="483">
        <f>(ABS(SUM(M18-D20)))</f>
        <v>4.1599999999988313E-2</v>
      </c>
      <c r="O21" s="481">
        <f>ROUNDUP(SUM(P21-I20),4)</f>
        <v>135.4932</v>
      </c>
      <c r="P21" s="481">
        <f>ROUNDUP(SUM(P22-I20),4)</f>
        <v>135.64660000000001</v>
      </c>
      <c r="Q21" s="482">
        <f t="shared" ref="Q21:Q31" si="4">SUM(R21-R20)</f>
        <v>0</v>
      </c>
      <c r="R21" s="482">
        <f>FREQUENCY(B9:K13,P21)</f>
        <v>0</v>
      </c>
    </row>
    <row r="22" spans="1:30" ht="18.75" customHeight="1">
      <c r="A22" s="484"/>
      <c r="B22" s="485"/>
      <c r="C22" s="485"/>
      <c r="D22" s="485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1">
        <f>ROUNDUP(SUM(P22-I20),4)</f>
        <v>135.64660000000001</v>
      </c>
      <c r="P22" s="481">
        <f>ROUNDUP((D21),4)</f>
        <v>135.80000000000001</v>
      </c>
      <c r="Q22" s="482">
        <f t="shared" si="4"/>
        <v>8</v>
      </c>
      <c r="R22" s="482">
        <f>FREQUENCY(B9:K13,P22)</f>
        <v>8</v>
      </c>
    </row>
    <row r="23" spans="1:30" ht="18.75" customHeight="1">
      <c r="A23" s="484"/>
      <c r="B23" s="485"/>
      <c r="C23" s="485"/>
      <c r="D23" s="485"/>
      <c r="E23" s="485"/>
      <c r="F23" s="485"/>
      <c r="G23" s="486"/>
      <c r="H23" s="485"/>
      <c r="I23" s="485"/>
      <c r="J23" s="485"/>
      <c r="K23" s="485"/>
      <c r="L23" s="485"/>
      <c r="M23" s="485"/>
      <c r="N23" s="485"/>
      <c r="O23" s="481">
        <f>ROUNDUP((D21),4)</f>
        <v>135.80000000000001</v>
      </c>
      <c r="P23" s="481">
        <f>ROUNDUP(SUM(P22+I20),4)</f>
        <v>135.95339999999999</v>
      </c>
      <c r="Q23" s="482">
        <f t="shared" si="4"/>
        <v>11</v>
      </c>
      <c r="R23" s="482">
        <f>FREQUENCY(B9:K13,P23)</f>
        <v>19</v>
      </c>
    </row>
    <row r="24" spans="1:30" ht="18.75" customHeight="1">
      <c r="A24" s="484"/>
      <c r="B24" s="485"/>
      <c r="C24" s="485"/>
      <c r="D24" s="485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1">
        <f>ROUNDUP(SUM(P22+I20),4)</f>
        <v>135.95339999999999</v>
      </c>
      <c r="P24" s="481">
        <f>ROUNDUP(SUM(P23+I20),4)</f>
        <v>136.10679999999999</v>
      </c>
      <c r="Q24" s="482">
        <f t="shared" si="4"/>
        <v>7</v>
      </c>
      <c r="R24" s="482">
        <f>FREQUENCY(B9:K13,P24)</f>
        <v>26</v>
      </c>
    </row>
    <row r="25" spans="1:30" ht="18.75" customHeight="1">
      <c r="A25" s="484"/>
      <c r="B25" s="485"/>
      <c r="C25" s="485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1">
        <f>ROUNDUP(SUM(P23+I20),4)</f>
        <v>136.10679999999999</v>
      </c>
      <c r="P25" s="481">
        <f>ROUNDUP(SUM(P24+I20),4)</f>
        <v>136.2602</v>
      </c>
      <c r="Q25" s="482">
        <f t="shared" si="4"/>
        <v>24</v>
      </c>
      <c r="R25" s="482">
        <f>FREQUENCY(B9:K13,P25)</f>
        <v>50</v>
      </c>
    </row>
    <row r="26" spans="1:30" ht="18.75" customHeight="1">
      <c r="A26" s="484"/>
      <c r="B26" s="485"/>
      <c r="C26" s="485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1">
        <f>ROUNDUP(SUM(P24+I20),4)</f>
        <v>136.2602</v>
      </c>
      <c r="P26" s="481">
        <f>ROUNDUP(SUM(P25+I20),4)</f>
        <v>136.4136</v>
      </c>
      <c r="Q26" s="482">
        <f t="shared" si="4"/>
        <v>0</v>
      </c>
      <c r="R26" s="482">
        <f>FREQUENCY(B9:K13,P26)</f>
        <v>50</v>
      </c>
    </row>
    <row r="27" spans="1:30" ht="18.75" customHeight="1">
      <c r="A27" s="484"/>
      <c r="B27" s="485"/>
      <c r="C27" s="485"/>
      <c r="D27" s="486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1">
        <f>ROUNDUP(SUM(P25+I20),4)</f>
        <v>136.4136</v>
      </c>
      <c r="P27" s="481">
        <f>ROUNDUP(SUM(P26+I20),4)</f>
        <v>136.56700000000001</v>
      </c>
      <c r="Q27" s="473">
        <f t="shared" si="4"/>
        <v>0</v>
      </c>
      <c r="R27" s="482">
        <f>FREQUENCY(B9:K13,P27)</f>
        <v>50</v>
      </c>
    </row>
    <row r="28" spans="1:30" ht="18.75" customHeight="1">
      <c r="A28" s="484"/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1">
        <f>ROUNDUP(SUM(P26+I20),4)</f>
        <v>136.56700000000001</v>
      </c>
      <c r="P28" s="481">
        <f>ROUNDUP(SUM(P27+I20),4)</f>
        <v>136.72040000000001</v>
      </c>
      <c r="Q28" s="473">
        <f t="shared" si="4"/>
        <v>0</v>
      </c>
      <c r="R28" s="482">
        <f>FREQUENCY(B9:K13,P28)</f>
        <v>50</v>
      </c>
    </row>
    <row r="29" spans="1:30" ht="18.75" customHeight="1">
      <c r="A29" s="484"/>
      <c r="B29" s="485"/>
      <c r="C29" s="48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1">
        <f>ROUNDUP(SUM(P27+I20),4)</f>
        <v>136.72040000000001</v>
      </c>
      <c r="P29" s="481">
        <f>ROUNDUP(SUM(P28+I20),4)</f>
        <v>136.87379999999999</v>
      </c>
      <c r="Q29" s="473">
        <f t="shared" si="4"/>
        <v>0</v>
      </c>
      <c r="R29" s="482">
        <f>FREQUENCY(B9:K13,P29)</f>
        <v>50</v>
      </c>
    </row>
    <row r="30" spans="1:30" ht="18.75" customHeight="1">
      <c r="A30" s="484"/>
      <c r="B30" s="485"/>
      <c r="C30" s="48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1">
        <f>ROUNDUP(SUM(P28+I20),4)</f>
        <v>136.87379999999999</v>
      </c>
      <c r="P30" s="481">
        <f>ROUNDUP(SUM(P29+I20),4)</f>
        <v>137.02719999999999</v>
      </c>
      <c r="Q30" s="473">
        <f t="shared" si="4"/>
        <v>0</v>
      </c>
      <c r="R30" s="482">
        <f>FREQUENCY(B9:K13,P30)</f>
        <v>50</v>
      </c>
      <c r="T30" s="441" t="s">
        <v>724</v>
      </c>
      <c r="U30" s="472">
        <f t="shared" ref="U30:AD30" si="5">$M$17</f>
        <v>0.39799999999998759</v>
      </c>
      <c r="V30" s="472">
        <f t="shared" si="5"/>
        <v>0.39799999999998759</v>
      </c>
      <c r="W30" s="472">
        <f t="shared" si="5"/>
        <v>0.39799999999998759</v>
      </c>
      <c r="X30" s="472">
        <f t="shared" si="5"/>
        <v>0.39799999999998759</v>
      </c>
      <c r="Y30" s="472">
        <f t="shared" si="5"/>
        <v>0.39799999999998759</v>
      </c>
      <c r="Z30" s="472">
        <f t="shared" si="5"/>
        <v>0.39799999999998759</v>
      </c>
      <c r="AA30" s="472">
        <f t="shared" si="5"/>
        <v>0.39799999999998759</v>
      </c>
      <c r="AB30" s="472">
        <f t="shared" si="5"/>
        <v>0.39799999999998759</v>
      </c>
      <c r="AC30" s="472">
        <f t="shared" si="5"/>
        <v>0.39799999999998759</v>
      </c>
      <c r="AD30" s="472">
        <f t="shared" si="5"/>
        <v>0.39799999999998759</v>
      </c>
    </row>
    <row r="31" spans="1:30" ht="18.75" customHeight="1">
      <c r="A31" s="484"/>
      <c r="B31" s="485"/>
      <c r="C31" s="48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7">
        <f>ROUNDUP(SUM(P29+I20),4)</f>
        <v>137.02719999999999</v>
      </c>
      <c r="P31" s="487">
        <f>ROUNDUP(SUM(P30+I20),4)</f>
        <v>137.1806</v>
      </c>
      <c r="Q31" s="488">
        <f t="shared" si="4"/>
        <v>0</v>
      </c>
      <c r="R31" s="489">
        <f>FREQUENCY(B9:K13,P31)</f>
        <v>50</v>
      </c>
      <c r="T31" s="441" t="s">
        <v>725</v>
      </c>
      <c r="U31" s="478">
        <f t="shared" ref="U31:AD31" si="6">$M$18</f>
        <v>136.04159999999999</v>
      </c>
      <c r="V31" s="478">
        <f t="shared" si="6"/>
        <v>136.04159999999999</v>
      </c>
      <c r="W31" s="478">
        <f t="shared" si="6"/>
        <v>136.04159999999999</v>
      </c>
      <c r="X31" s="478">
        <f t="shared" si="6"/>
        <v>136.04159999999999</v>
      </c>
      <c r="Y31" s="478">
        <f t="shared" si="6"/>
        <v>136.04159999999999</v>
      </c>
      <c r="Z31" s="478">
        <f t="shared" si="6"/>
        <v>136.04159999999999</v>
      </c>
      <c r="AA31" s="478">
        <f t="shared" si="6"/>
        <v>136.04159999999999</v>
      </c>
      <c r="AB31" s="478">
        <f t="shared" si="6"/>
        <v>136.04159999999999</v>
      </c>
      <c r="AC31" s="478">
        <f t="shared" si="6"/>
        <v>136.04159999999999</v>
      </c>
      <c r="AD31" s="478">
        <f t="shared" si="6"/>
        <v>136.04159999999999</v>
      </c>
    </row>
    <row r="32" spans="1:30" ht="18.75" customHeight="1">
      <c r="A32" s="484"/>
      <c r="B32" s="485"/>
      <c r="C32" s="485"/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1122" t="s">
        <v>726</v>
      </c>
      <c r="P32" s="1122"/>
      <c r="Q32" s="1128">
        <f>(M18+(Q13*M17))</f>
        <v>136.04159999999999</v>
      </c>
      <c r="R32" s="1128"/>
      <c r="U32" s="490">
        <f>Q32</f>
        <v>136.04159999999999</v>
      </c>
      <c r="V32" s="490">
        <f>Q32</f>
        <v>136.04159999999999</v>
      </c>
      <c r="W32" s="490">
        <f>Q32</f>
        <v>136.04159999999999</v>
      </c>
      <c r="X32" s="490">
        <f>Q32</f>
        <v>136.04159999999999</v>
      </c>
      <c r="Y32" s="490">
        <f>Q32</f>
        <v>136.04159999999999</v>
      </c>
      <c r="Z32" s="490">
        <f>Q32</f>
        <v>136.04159999999999</v>
      </c>
      <c r="AA32" s="490">
        <f>Q32</f>
        <v>136.04159999999999</v>
      </c>
      <c r="AB32" s="490">
        <f>Q32</f>
        <v>136.04159999999999</v>
      </c>
      <c r="AC32" s="490">
        <f>Q32</f>
        <v>136.04159999999999</v>
      </c>
      <c r="AD32" s="490">
        <f>Q32</f>
        <v>136.04159999999999</v>
      </c>
    </row>
    <row r="33" spans="1:30" ht="18.75" customHeight="1">
      <c r="A33" s="484"/>
      <c r="B33" s="485"/>
      <c r="C33" s="485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1129" t="s">
        <v>727</v>
      </c>
      <c r="P33" s="1129"/>
      <c r="Q33" s="1130">
        <f>(M18-(Q13*M17))</f>
        <v>136.04159999999999</v>
      </c>
      <c r="R33" s="1130"/>
      <c r="U33" s="491">
        <f>Q33</f>
        <v>136.04159999999999</v>
      </c>
      <c r="V33" s="491">
        <f>Q33</f>
        <v>136.04159999999999</v>
      </c>
      <c r="W33" s="491">
        <f>Q33</f>
        <v>136.04159999999999</v>
      </c>
      <c r="X33" s="491">
        <f>Q33</f>
        <v>136.04159999999999</v>
      </c>
      <c r="Y33" s="491">
        <f>Q33</f>
        <v>136.04159999999999</v>
      </c>
      <c r="Z33" s="491">
        <f>Q33</f>
        <v>136.04159999999999</v>
      </c>
      <c r="AA33" s="491">
        <f>Q33</f>
        <v>136.04159999999999</v>
      </c>
      <c r="AB33" s="491">
        <f>Q33</f>
        <v>136.04159999999999</v>
      </c>
      <c r="AC33" s="491">
        <f>Q33</f>
        <v>136.04159999999999</v>
      </c>
      <c r="AD33" s="491">
        <f>Q33</f>
        <v>136.04159999999999</v>
      </c>
    </row>
    <row r="34" spans="1:30" ht="18.75" customHeight="1">
      <c r="A34" s="484"/>
      <c r="B34" s="485"/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1131" t="s">
        <v>728</v>
      </c>
      <c r="P34" s="1131"/>
      <c r="Q34" s="1132">
        <f>M17*R13</f>
        <v>0</v>
      </c>
      <c r="R34" s="1132"/>
      <c r="U34" s="492">
        <f>Q34</f>
        <v>0</v>
      </c>
      <c r="V34" s="492">
        <f>Q34</f>
        <v>0</v>
      </c>
      <c r="W34" s="492">
        <f>Q34</f>
        <v>0</v>
      </c>
      <c r="X34" s="492">
        <f>Q34</f>
        <v>0</v>
      </c>
      <c r="Y34" s="492">
        <f>Q34</f>
        <v>0</v>
      </c>
      <c r="Z34" s="492">
        <f>Q34</f>
        <v>0</v>
      </c>
      <c r="AA34" s="492">
        <f>Q34</f>
        <v>0</v>
      </c>
      <c r="AB34" s="492">
        <f>Q34</f>
        <v>0</v>
      </c>
      <c r="AC34" s="492">
        <f>Q34</f>
        <v>0</v>
      </c>
      <c r="AD34" s="492">
        <f>Q34</f>
        <v>0</v>
      </c>
    </row>
    <row r="35" spans="1:30" ht="18.75" customHeight="1">
      <c r="A35" s="484"/>
      <c r="B35" s="485"/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1131" t="s">
        <v>729</v>
      </c>
      <c r="P35" s="1131"/>
      <c r="Q35" s="1133">
        <f>M17*0</f>
        <v>0</v>
      </c>
      <c r="R35" s="1133"/>
      <c r="U35" s="490">
        <f>Q35</f>
        <v>0</v>
      </c>
      <c r="V35" s="490">
        <f>Q35</f>
        <v>0</v>
      </c>
      <c r="W35" s="490">
        <f>Q35</f>
        <v>0</v>
      </c>
      <c r="X35" s="490">
        <f>Q35</f>
        <v>0</v>
      </c>
      <c r="Y35" s="490">
        <f>Q35</f>
        <v>0</v>
      </c>
      <c r="Z35" s="490">
        <f>Q35</f>
        <v>0</v>
      </c>
      <c r="AA35" s="490">
        <f>Q35</f>
        <v>0</v>
      </c>
      <c r="AB35" s="490">
        <f>Q35</f>
        <v>0</v>
      </c>
      <c r="AC35" s="490">
        <f>Q35</f>
        <v>0</v>
      </c>
      <c r="AD35" s="490">
        <f>Q35</f>
        <v>0</v>
      </c>
    </row>
    <row r="36" spans="1:30" ht="19.5" customHeight="1">
      <c r="A36" s="484"/>
      <c r="B36" s="485"/>
      <c r="C36" s="48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1134" t="s">
        <v>730</v>
      </c>
      <c r="P36" s="1134"/>
      <c r="Q36" s="1135">
        <f>STDEV(B9:K13)</f>
        <v>0.15824754568170907</v>
      </c>
      <c r="R36" s="1135"/>
    </row>
    <row r="37" spans="1:30" ht="19.5" customHeight="1">
      <c r="A37" s="484"/>
      <c r="B37" s="485"/>
      <c r="C37" s="485"/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1136" t="s">
        <v>731</v>
      </c>
      <c r="P37" s="1136"/>
      <c r="Q37" s="1135">
        <f>ROUNDUP(SUM(I19/(6*Q36)),4)</f>
        <v>2.1065</v>
      </c>
      <c r="R37" s="1135"/>
    </row>
    <row r="38" spans="1:30" ht="16.5" customHeight="1">
      <c r="A38" s="1137" t="s">
        <v>732</v>
      </c>
      <c r="B38" s="1137"/>
      <c r="C38" s="1138" t="str">
        <f>IF(OR(AND(Q37&gt;=0,Q37&lt;=0.5),AND(Q38&gt;=0,Q38&lt;=0.5)),"PROCESS IS VERY POOR TAKE IMMEDIATE ACTION",IF(OR(AND(Q37&gt;0.5,Q37&lt;=1),AND(Q38&gt;0.5,Q38&lt;=1)),"PROCESS NEEDS CORRECTION ,Cp &amp; Cpk SHOULD BE &gt;=1.33",IF(OR(AND(Q37&gt;1,Q37&lt;=1.67),AND(Q38&gt;1,Q38&lt;=1.67)),"PROCESS IS GOOD BUT STILL IMPROVEMENT IS REQUIRED","PROCESS IS EXCELLENT")))</f>
        <v>PROCESS IS EXCELLENT</v>
      </c>
      <c r="D38" s="1138"/>
      <c r="E38" s="1138"/>
      <c r="F38" s="1138"/>
      <c r="G38" s="1138"/>
      <c r="H38" s="1138"/>
      <c r="I38" s="1138"/>
      <c r="J38" s="1138"/>
      <c r="K38" s="1138"/>
      <c r="L38" s="1138"/>
      <c r="M38" s="1138"/>
      <c r="N38" s="1138"/>
      <c r="O38" s="1136" t="s">
        <v>733</v>
      </c>
      <c r="P38" s="1136"/>
      <c r="Q38" s="1135">
        <f>ROUNDUP(SUM((1-N19)*Q37),4)</f>
        <v>2.0189000000000004</v>
      </c>
      <c r="R38" s="1135"/>
    </row>
    <row r="39" spans="1:30" ht="19.350000000000001" customHeight="1">
      <c r="A39" s="1137"/>
      <c r="B39" s="1137"/>
      <c r="C39" s="1138"/>
      <c r="D39" s="1138"/>
      <c r="E39" s="1138"/>
      <c r="F39" s="1138"/>
      <c r="G39" s="1138"/>
      <c r="H39" s="1138"/>
      <c r="I39" s="1138"/>
      <c r="J39" s="1138"/>
      <c r="K39" s="1138"/>
      <c r="L39" s="1138"/>
      <c r="M39" s="1138"/>
      <c r="N39" s="1138"/>
      <c r="O39" s="1139" t="s">
        <v>734</v>
      </c>
      <c r="P39" s="1139"/>
      <c r="Q39" s="1139"/>
      <c r="R39" s="1139"/>
    </row>
  </sheetData>
  <sheetProtection password="C45F" sheet="1" objects="1" scenarios="1" formatColumns="0" formatRows="0"/>
  <mergeCells count="65">
    <mergeCell ref="A38:B39"/>
    <mergeCell ref="C38:N39"/>
    <mergeCell ref="O38:P38"/>
    <mergeCell ref="Q38:R38"/>
    <mergeCell ref="O39:R39"/>
    <mergeCell ref="O35:P35"/>
    <mergeCell ref="Q35:R35"/>
    <mergeCell ref="O36:P36"/>
    <mergeCell ref="Q36:R36"/>
    <mergeCell ref="O37:P37"/>
    <mergeCell ref="Q37:R37"/>
    <mergeCell ref="O32:P32"/>
    <mergeCell ref="Q32:R32"/>
    <mergeCell ref="O33:P33"/>
    <mergeCell ref="Q33:R33"/>
    <mergeCell ref="O34:P34"/>
    <mergeCell ref="Q34:R34"/>
    <mergeCell ref="A20:C20"/>
    <mergeCell ref="D20:E20"/>
    <mergeCell ref="F20:H20"/>
    <mergeCell ref="I20:J20"/>
    <mergeCell ref="K20:M20"/>
    <mergeCell ref="A21:C21"/>
    <mergeCell ref="D21:E21"/>
    <mergeCell ref="F21:H21"/>
    <mergeCell ref="I21:J21"/>
    <mergeCell ref="K21:M21"/>
    <mergeCell ref="N17:P17"/>
    <mergeCell ref="N18:P18"/>
    <mergeCell ref="A19:C19"/>
    <mergeCell ref="D19:E19"/>
    <mergeCell ref="F19:H19"/>
    <mergeCell ref="I19:J19"/>
    <mergeCell ref="K19:M19"/>
    <mergeCell ref="O19:P19"/>
    <mergeCell ref="N16:R16"/>
    <mergeCell ref="A6:B6"/>
    <mergeCell ref="C6:E6"/>
    <mergeCell ref="F6:G6"/>
    <mergeCell ref="H6:J6"/>
    <mergeCell ref="K6:L6"/>
    <mergeCell ref="A7:R7"/>
    <mergeCell ref="N8:R13"/>
    <mergeCell ref="L9:M10"/>
    <mergeCell ref="L12:M13"/>
    <mergeCell ref="A14:R14"/>
    <mergeCell ref="N15:P15"/>
    <mergeCell ref="A4:B4"/>
    <mergeCell ref="C4:E4"/>
    <mergeCell ref="F4:G4"/>
    <mergeCell ref="H4:J4"/>
    <mergeCell ref="K4:L4"/>
    <mergeCell ref="A5:B5"/>
    <mergeCell ref="C5:E5"/>
    <mergeCell ref="F5:G5"/>
    <mergeCell ref="H5:J5"/>
    <mergeCell ref="K5:L5"/>
    <mergeCell ref="A1:C3"/>
    <mergeCell ref="D1:N3"/>
    <mergeCell ref="O1:P1"/>
    <mergeCell ref="Q1:R1"/>
    <mergeCell ref="O2:P2"/>
    <mergeCell ref="Q2:R2"/>
    <mergeCell ref="O3:P3"/>
    <mergeCell ref="Q3:R3"/>
  </mergeCells>
  <printOptions horizontalCentered="1"/>
  <pageMargins left="3.937007874015748E-2" right="3.937007874015748E-2" top="3.937007874015748E-2" bottom="3.937007874015748E-2" header="0.78740157480314965" footer="0.78740157480314965"/>
  <pageSetup paperSize="9" scale="78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LABLE</vt:lpstr>
      <vt:lpstr>COVER</vt:lpstr>
      <vt:lpstr>Document Review</vt:lpstr>
      <vt:lpstr>2)PFD</vt:lpstr>
      <vt:lpstr>3)FMEA </vt:lpstr>
      <vt:lpstr>4)P-C-P </vt:lpstr>
      <vt:lpstr>19)QP</vt:lpstr>
      <vt:lpstr>27)PSW</vt:lpstr>
      <vt:lpstr>WPS (CO2)</vt:lpstr>
      <vt:lpstr>SPC_252709140196</vt:lpstr>
      <vt:lpstr>'19)QP'!Print_Area</vt:lpstr>
      <vt:lpstr>'2)PFD'!Print_Area</vt:lpstr>
      <vt:lpstr>'27)PSW'!Print_Area</vt:lpstr>
      <vt:lpstr>'3)FMEA '!Print_Area</vt:lpstr>
      <vt:lpstr>'4)P-C-P '!Print_Area</vt:lpstr>
      <vt:lpstr>SPC_252709140196!Print_Area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sharayu jadhav</cp:lastModifiedBy>
  <cp:lastPrinted>2016-01-21T10:19:16Z</cp:lastPrinted>
  <dcterms:created xsi:type="dcterms:W3CDTF">2014-12-11T09:39:45Z</dcterms:created>
  <dcterms:modified xsi:type="dcterms:W3CDTF">2016-09-12T09:28:35Z</dcterms:modified>
</cp:coreProperties>
</file>